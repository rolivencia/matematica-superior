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1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miro Olivencia\WebstormProjects\matematica-superior\"/>
    </mc:Choice>
  </mc:AlternateContent>
  <xr:revisionPtr revIDLastSave="0" documentId="13_ncr:1_{6D6AEDB5-D321-46C9-92DB-9277ED15D84D}" xr6:coauthVersionLast="47" xr6:coauthVersionMax="47" xr10:uidLastSave="{00000000-0000-0000-0000-000000000000}"/>
  <bookViews>
    <workbookView xWindow="780" yWindow="780" windowWidth="19200" windowHeight="14760" firstSheet="3" activeTab="10" xr2:uid="{00000000-000D-0000-FFFF-FFFF00000000}"/>
  </bookViews>
  <sheets>
    <sheet name="Template" sheetId="10" r:id="rId1"/>
    <sheet name="5 - Página 22" sheetId="9" r:id="rId2"/>
    <sheet name="10 - Página 23" sheetId="11" r:id="rId3"/>
    <sheet name="4 - Página 24" sheetId="12" r:id="rId4"/>
    <sheet name="3 - Página 26" sheetId="13" r:id="rId5"/>
    <sheet name="5 - Página 30" sheetId="14" r:id="rId6"/>
    <sheet name="5 - Página 31" sheetId="15" r:id="rId7"/>
    <sheet name="2 - Página 32" sheetId="16" r:id="rId8"/>
    <sheet name="6 - Página 36" sheetId="17" r:id="rId9"/>
    <sheet name="7 - Página 38" sheetId="18" r:id="rId10"/>
    <sheet name="8 - Página 40" sheetId="19" r:id="rId11"/>
  </sheets>
  <definedNames>
    <definedName name="_xlpm.C" hidden="1" xlm="1">#NAME?</definedName>
    <definedName name="_xlpm.P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Temp" hidden="1" xlm="1">#NAME?</definedName>
    <definedName name="_xlpm.X" hidden="1" xlm="1">#NAME?</definedName>
    <definedName name="_xlpm.y" hidden="1" xlm="1">#NAME?</definedName>
    <definedName name="_xlpm.Yt" hidden="1" xlm="1">#NAME?</definedName>
    <definedName name="FXY" localSheetId="2">_xlfn.LAMBDA(_xlpm.t,_xlpm.s, 3*_xlpm.t +2 * EXP(-(_xlpm.s)*_xlpm.t))</definedName>
    <definedName name="FXY" localSheetId="7">_xlfn.LAMBDA(_xlpm.t,_xlpm.C, 1 + EXP(COS(0.25*_xlpm.C)))</definedName>
    <definedName name="FXY" localSheetId="4">_xlfn.LAMBDA(_xlpm.t,_xlpm.P, (LN(_xlpm.P+1)+_xlpm.t^2))</definedName>
    <definedName name="FXY" localSheetId="3">_xlfn.LAMBDA(_xlpm.t,_xlpm.P, (-1000/(_xlpm.P + 1)))</definedName>
    <definedName name="FXY" localSheetId="1">_xlfn.LAMBDA(_xlpm.t,_xlpm.r, (1-_xlpm.r^3) * (1+_xlpm.t^2))</definedName>
    <definedName name="FXY" localSheetId="5">_xlfn.LAMBDA(_xlpm.t,_xlpm.P, 0.2 * _xlpm.P - 2 * COS(_xlpm.t/2))</definedName>
    <definedName name="FXY" localSheetId="6">_xlfn.LAMBDA(_xlpm.t,_xlpm.P, 3.9 - 0.2 * (_xlpm.t-2)^2 + 0.1 * EXP(-_xlpm.t-2))</definedName>
    <definedName name="FXY" localSheetId="8">_xlfn.LAMBDA(_xlpm.t,_xlpm.P, 20 + 0.1*_xlpm.t + 0.1 * LN(0.01 * _xlpm.P + 2))</definedName>
    <definedName name="FXY" localSheetId="9">_xlfn.LAMBDA(_xlpm.t,_xlpm.Temp, 0.1 * (25 - _xlpm.Temp) * (1 + EXP(-_xlpm.t / 10)))</definedName>
    <definedName name="FXY" localSheetId="10">_xlfn.LAMBDA(_xlpm.t,_xlpm.Temp, 0.1 * (25 - _xlpm.Temp) * (1 + EXP(-_xlpm.t / 10)))</definedName>
    <definedName name="GXY" localSheetId="6">_xlfn.LAMBDA(_xlpm.t,_xlpm.P, 4 - EXP(2-_xlpm.t) + (_xlpm.t-2)/(_xlpm.P^2 + 1))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5" i="19" l="1"/>
  <c r="C55" i="19"/>
  <c r="H55" i="19" s="1"/>
  <c r="M35" i="19"/>
  <c r="L36" i="19" s="1"/>
  <c r="J40" i="19" s="1"/>
  <c r="K35" i="19"/>
  <c r="D35" i="19"/>
  <c r="C35" i="19"/>
  <c r="C36" i="19" s="1"/>
  <c r="C37" i="19" s="1"/>
  <c r="D34" i="19"/>
  <c r="C34" i="19"/>
  <c r="E33" i="19"/>
  <c r="F33" i="19" s="1" a="1"/>
  <c r="F33" i="19" s="1"/>
  <c r="D33" i="19"/>
  <c r="K13" i="19"/>
  <c r="K14" i="19" s="1"/>
  <c r="K15" i="19" s="1"/>
  <c r="K16" i="19" s="1"/>
  <c r="K17" i="19" s="1"/>
  <c r="K18" i="19" s="1"/>
  <c r="L12" i="19"/>
  <c r="L13" i="19" s="1"/>
  <c r="L14" i="19" s="1"/>
  <c r="L15" i="19" s="1"/>
  <c r="L16" i="19" s="1"/>
  <c r="L17" i="19" s="1"/>
  <c r="L18" i="19" s="1"/>
  <c r="C9" i="19"/>
  <c r="C10" i="19" s="1"/>
  <c r="C11" i="19" s="1"/>
  <c r="C12" i="19" s="1"/>
  <c r="N8" i="19" a="1"/>
  <c r="N8" i="19" s="1"/>
  <c r="E8" i="19"/>
  <c r="F8" i="19" s="1" a="1"/>
  <c r="F8" i="19" s="1"/>
  <c r="D8" i="19"/>
  <c r="D9" i="19" s="1"/>
  <c r="N7" i="19"/>
  <c r="N7" i="19" a="1"/>
  <c r="N6" i="19" a="1"/>
  <c r="N6" i="19" s="1"/>
  <c r="M12" i="19" s="1"/>
  <c r="N5" i="19"/>
  <c r="N5" i="19" a="1"/>
  <c r="N5" i="18" a="1"/>
  <c r="N5" i="18" s="1"/>
  <c r="E55" i="18"/>
  <c r="C35" i="18"/>
  <c r="C36" i="18" s="1"/>
  <c r="C37" i="18" s="1"/>
  <c r="C34" i="18"/>
  <c r="F33" i="18" a="1"/>
  <c r="F33" i="18" s="1"/>
  <c r="G33" i="18" s="1" a="1"/>
  <c r="G33" i="18" s="1"/>
  <c r="E33" i="18"/>
  <c r="D33" i="18"/>
  <c r="D34" i="18" s="1"/>
  <c r="C55" i="18"/>
  <c r="H55" i="18" s="1"/>
  <c r="M35" i="18"/>
  <c r="K35" i="18"/>
  <c r="L13" i="18"/>
  <c r="L14" i="18" s="1"/>
  <c r="K13" i="18"/>
  <c r="K14" i="18" s="1"/>
  <c r="K15" i="18" s="1"/>
  <c r="K16" i="18" s="1"/>
  <c r="K17" i="18" s="1"/>
  <c r="K18" i="18" s="1"/>
  <c r="L12" i="18"/>
  <c r="C9" i="18"/>
  <c r="C10" i="18" s="1"/>
  <c r="C11" i="18" s="1"/>
  <c r="C12" i="18" s="1"/>
  <c r="N8" i="18" a="1"/>
  <c r="N8" i="18" s="1"/>
  <c r="E8" i="18"/>
  <c r="D8" i="18"/>
  <c r="D9" i="18" s="1"/>
  <c r="E55" i="17"/>
  <c r="C55" i="17"/>
  <c r="H55" i="17" s="1"/>
  <c r="M35" i="17"/>
  <c r="K35" i="17"/>
  <c r="D34" i="17"/>
  <c r="D35" i="17" s="1"/>
  <c r="C34" i="17"/>
  <c r="C35" i="17" s="1"/>
  <c r="F33" i="17" a="1"/>
  <c r="F33" i="17" s="1"/>
  <c r="E33" i="17"/>
  <c r="D33" i="17"/>
  <c r="K13" i="17"/>
  <c r="K14" i="17" s="1"/>
  <c r="K15" i="17" s="1"/>
  <c r="K16" i="17" s="1"/>
  <c r="K17" i="17" s="1"/>
  <c r="K18" i="17" s="1"/>
  <c r="L12" i="17"/>
  <c r="L13" i="17" s="1"/>
  <c r="L14" i="17" s="1"/>
  <c r="L15" i="17" s="1"/>
  <c r="L16" i="17" s="1"/>
  <c r="L17" i="17" s="1"/>
  <c r="L18" i="17" s="1"/>
  <c r="C9" i="17"/>
  <c r="C10" i="17" s="1"/>
  <c r="C11" i="17" s="1"/>
  <c r="C12" i="17" s="1"/>
  <c r="N8" i="17" a="1"/>
  <c r="N8" i="17" s="1"/>
  <c r="E8" i="17"/>
  <c r="F8" i="17" s="1" a="1"/>
  <c r="F8" i="17" s="1"/>
  <c r="D8" i="17"/>
  <c r="D9" i="17" s="1"/>
  <c r="N7" i="17" a="1"/>
  <c r="N7" i="17" s="1"/>
  <c r="N6" i="17" a="1"/>
  <c r="N6" i="17" s="1"/>
  <c r="N5" i="17" a="1"/>
  <c r="N5" i="17" s="1"/>
  <c r="D35" i="16"/>
  <c r="C35" i="16"/>
  <c r="C12" i="16"/>
  <c r="E55" i="16"/>
  <c r="C55" i="16"/>
  <c r="H55" i="16" s="1"/>
  <c r="M35" i="16"/>
  <c r="K35" i="16"/>
  <c r="C34" i="16"/>
  <c r="F33" i="16" a="1"/>
  <c r="F33" i="16" s="1"/>
  <c r="G33" i="16" s="1" a="1"/>
  <c r="G33" i="16" s="1"/>
  <c r="E33" i="16"/>
  <c r="D33" i="16"/>
  <c r="D34" i="16" s="1"/>
  <c r="K15" i="16"/>
  <c r="K16" i="16" s="1"/>
  <c r="K17" i="16" s="1"/>
  <c r="K18" i="16" s="1"/>
  <c r="K14" i="16"/>
  <c r="K13" i="16"/>
  <c r="L12" i="16"/>
  <c r="L13" i="16" s="1"/>
  <c r="C9" i="16"/>
  <c r="C10" i="16" s="1"/>
  <c r="C11" i="16" s="1"/>
  <c r="N8" i="16" a="1"/>
  <c r="N8" i="16" s="1"/>
  <c r="E8" i="16"/>
  <c r="D8" i="16"/>
  <c r="F8" i="16" s="1" a="1"/>
  <c r="F8" i="16" s="1"/>
  <c r="N7" i="16" a="1"/>
  <c r="N7" i="16" s="1"/>
  <c r="N6" i="16" a="1"/>
  <c r="N6" i="16" s="1"/>
  <c r="N5" i="16" a="1"/>
  <c r="N5" i="16" s="1"/>
  <c r="L18" i="15"/>
  <c r="K18" i="15"/>
  <c r="N8" i="15" a="1"/>
  <c r="N8" i="15" s="1"/>
  <c r="N7" i="15" a="1"/>
  <c r="N7" i="15" s="1"/>
  <c r="N6" i="15" a="1"/>
  <c r="N6" i="15" s="1"/>
  <c r="N5" i="15" a="1"/>
  <c r="N5" i="15" s="1"/>
  <c r="L17" i="15"/>
  <c r="L16" i="15"/>
  <c r="K16" i="15"/>
  <c r="K17" i="15" s="1"/>
  <c r="F12" i="15" a="1"/>
  <c r="F12" i="15" s="1"/>
  <c r="D12" i="15"/>
  <c r="C12" i="15"/>
  <c r="E55" i="15"/>
  <c r="C55" i="15"/>
  <c r="H55" i="15" s="1"/>
  <c r="M35" i="15"/>
  <c r="K35" i="15"/>
  <c r="C34" i="15"/>
  <c r="C35" i="15" s="1"/>
  <c r="C36" i="15" s="1"/>
  <c r="C37" i="15" s="1"/>
  <c r="E33" i="15"/>
  <c r="D33" i="15"/>
  <c r="D34" i="15" s="1"/>
  <c r="K13" i="15"/>
  <c r="K14" i="15" s="1"/>
  <c r="K15" i="15" s="1"/>
  <c r="L12" i="15"/>
  <c r="L13" i="15" s="1"/>
  <c r="L14" i="15" s="1"/>
  <c r="L15" i="15" s="1"/>
  <c r="C10" i="15"/>
  <c r="C11" i="15" s="1"/>
  <c r="D9" i="15"/>
  <c r="D10" i="15" s="1"/>
  <c r="C9" i="15"/>
  <c r="E8" i="15"/>
  <c r="D8" i="15"/>
  <c r="L12" i="14"/>
  <c r="L13" i="14" s="1"/>
  <c r="L14" i="14" s="1"/>
  <c r="L15" i="14" s="1"/>
  <c r="L16" i="14" s="1"/>
  <c r="D12" i="14"/>
  <c r="C12" i="14"/>
  <c r="H55" i="14"/>
  <c r="E55" i="14"/>
  <c r="C55" i="14"/>
  <c r="C36" i="14"/>
  <c r="C37" i="14" s="1"/>
  <c r="M35" i="14"/>
  <c r="K35" i="14"/>
  <c r="C35" i="14"/>
  <c r="D34" i="14"/>
  <c r="D35" i="14" s="1"/>
  <c r="C34" i="14"/>
  <c r="E33" i="14"/>
  <c r="D33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K13" i="14"/>
  <c r="K14" i="14" s="1"/>
  <c r="K15" i="14" s="1"/>
  <c r="K16" i="14" s="1"/>
  <c r="C9" i="14"/>
  <c r="C10" i="14" s="1"/>
  <c r="C11" i="14" s="1"/>
  <c r="N8" i="14" a="1"/>
  <c r="N8" i="14" s="1"/>
  <c r="E8" i="14"/>
  <c r="F8" i="14" s="1" a="1"/>
  <c r="F8" i="14" s="1"/>
  <c r="D8" i="14"/>
  <c r="N7" i="14" a="1"/>
  <c r="N7" i="14" s="1"/>
  <c r="N6" i="14" a="1"/>
  <c r="N6" i="14" s="1"/>
  <c r="N5" i="14" a="1"/>
  <c r="N5" i="14" s="1"/>
  <c r="E55" i="13"/>
  <c r="C36" i="13"/>
  <c r="C37" i="13" s="1"/>
  <c r="C35" i="13"/>
  <c r="C34" i="13"/>
  <c r="E33" i="13"/>
  <c r="D33" i="13"/>
  <c r="C55" i="13"/>
  <c r="H55" i="13" s="1"/>
  <c r="M35" i="13"/>
  <c r="K35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K13" i="13"/>
  <c r="K14" i="13" s="1"/>
  <c r="K15" i="13" s="1"/>
  <c r="K16" i="13" s="1"/>
  <c r="L12" i="13"/>
  <c r="L13" i="13" s="1"/>
  <c r="L14" i="13" s="1"/>
  <c r="L15" i="13" s="1"/>
  <c r="L16" i="13" s="1"/>
  <c r="C9" i="13"/>
  <c r="C10" i="13" s="1"/>
  <c r="C11" i="13" s="1"/>
  <c r="N8" i="13" a="1"/>
  <c r="N8" i="13" s="1"/>
  <c r="E8" i="13"/>
  <c r="D8" i="13"/>
  <c r="D9" i="13" s="1"/>
  <c r="N7" i="13" a="1"/>
  <c r="N7" i="13" s="1"/>
  <c r="N6" i="13" a="1"/>
  <c r="N6" i="13" s="1"/>
  <c r="N5" i="13" a="1"/>
  <c r="N5" i="13" s="1"/>
  <c r="N8" i="12" a="1"/>
  <c r="N8" i="12" s="1"/>
  <c r="L12" i="12"/>
  <c r="D14" i="12"/>
  <c r="C14" i="12"/>
  <c r="D39" i="12"/>
  <c r="C39" i="12"/>
  <c r="C38" i="12"/>
  <c r="C13" i="12"/>
  <c r="D12" i="12"/>
  <c r="D13" i="12" s="1"/>
  <c r="C12" i="12"/>
  <c r="H55" i="12"/>
  <c r="E55" i="12"/>
  <c r="C55" i="12"/>
  <c r="M35" i="12"/>
  <c r="K35" i="12"/>
  <c r="C35" i="12"/>
  <c r="C36" i="12" s="1"/>
  <c r="C37" i="12" s="1"/>
  <c r="D34" i="12"/>
  <c r="D35" i="12" s="1"/>
  <c r="C34" i="12"/>
  <c r="F33" i="12" a="1"/>
  <c r="F33" i="12" s="1"/>
  <c r="E33" i="12"/>
  <c r="D33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K13" i="12"/>
  <c r="K14" i="12" s="1"/>
  <c r="K15" i="12" s="1"/>
  <c r="K16" i="12" s="1"/>
  <c r="D9" i="12"/>
  <c r="C9" i="12"/>
  <c r="C10" i="12" s="1"/>
  <c r="C11" i="12" s="1"/>
  <c r="E8" i="12"/>
  <c r="D8" i="12"/>
  <c r="N7" i="12" a="1"/>
  <c r="N7" i="12" s="1"/>
  <c r="N6" i="12" a="1"/>
  <c r="N6" i="12" s="1"/>
  <c r="N5" i="12" a="1"/>
  <c r="N5" i="12" s="1"/>
  <c r="C37" i="11"/>
  <c r="C35" i="11"/>
  <c r="C36" i="11" s="1"/>
  <c r="D34" i="11"/>
  <c r="D35" i="11" s="1"/>
  <c r="C34" i="11"/>
  <c r="F33" i="11" a="1"/>
  <c r="F33" i="11" s="1"/>
  <c r="E33" i="11"/>
  <c r="D33" i="11"/>
  <c r="P17" i="11"/>
  <c r="D63" i="11"/>
  <c r="M35" i="11"/>
  <c r="K35" i="11"/>
  <c r="K13" i="11"/>
  <c r="K14" i="11" s="1"/>
  <c r="K15" i="11" s="1"/>
  <c r="K16" i="11" s="1"/>
  <c r="L12" i="11"/>
  <c r="L13" i="11" s="1"/>
  <c r="L14" i="11" s="1"/>
  <c r="L15" i="11" s="1"/>
  <c r="L16" i="11" s="1"/>
  <c r="C10" i="11"/>
  <c r="C11" i="11" s="1"/>
  <c r="C9" i="11"/>
  <c r="N8" i="11" a="1"/>
  <c r="N8" i="11" s="1"/>
  <c r="F8" i="11" a="1"/>
  <c r="F8" i="11" s="1"/>
  <c r="G8" i="11" s="1" a="1"/>
  <c r="G8" i="11" s="1"/>
  <c r="E8" i="11"/>
  <c r="D8" i="11"/>
  <c r="D9" i="11" s="1"/>
  <c r="N7" i="11" a="1"/>
  <c r="N7" i="11" s="1"/>
  <c r="N6" i="11" a="1"/>
  <c r="N6" i="11" s="1"/>
  <c r="N5" i="11" a="1"/>
  <c r="N5" i="11" s="1"/>
  <c r="D63" i="10"/>
  <c r="E55" i="10"/>
  <c r="C55" i="10"/>
  <c r="H55" i="10" s="1"/>
  <c r="J40" i="10"/>
  <c r="L36" i="10"/>
  <c r="M35" i="10"/>
  <c r="K35" i="10"/>
  <c r="D34" i="10"/>
  <c r="C34" i="10"/>
  <c r="C35" i="10" s="1"/>
  <c r="C36" i="10" s="1"/>
  <c r="F33" i="10" a="1"/>
  <c r="F33" i="10" s="1"/>
  <c r="E33" i="10"/>
  <c r="D33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K15" i="10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P14" i="10"/>
  <c r="K14" i="10"/>
  <c r="K13" i="10"/>
  <c r="L12" i="10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L27" i="10" s="1"/>
  <c r="L28" i="10" s="1"/>
  <c r="C10" i="10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9" i="10"/>
  <c r="N8" i="10" a="1"/>
  <c r="N8" i="10" s="1"/>
  <c r="F8" i="10" a="1"/>
  <c r="F8" i="10" s="1"/>
  <c r="E8" i="10"/>
  <c r="D8" i="10"/>
  <c r="D9" i="10" s="1"/>
  <c r="N7" i="10" a="1"/>
  <c r="N7" i="10" s="1"/>
  <c r="N6" i="10" a="1"/>
  <c r="N6" i="10" s="1"/>
  <c r="N5" i="10" a="1"/>
  <c r="N5" i="10" s="1"/>
  <c r="J40" i="9"/>
  <c r="D63" i="9"/>
  <c r="E55" i="9"/>
  <c r="C55" i="9"/>
  <c r="H55" i="9" s="1"/>
  <c r="C34" i="9"/>
  <c r="C35" i="9" s="1"/>
  <c r="C36" i="9" s="1"/>
  <c r="E33" i="9"/>
  <c r="D33" i="9"/>
  <c r="D34" i="9" s="1"/>
  <c r="M35" i="9"/>
  <c r="K35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K13" i="9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L12" i="9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L24" i="9" s="1"/>
  <c r="L25" i="9" s="1"/>
  <c r="L26" i="9" s="1"/>
  <c r="L27" i="9" s="1"/>
  <c r="L28" i="9" s="1"/>
  <c r="C9" i="9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N8" i="9" a="1"/>
  <c r="N8" i="9" s="1"/>
  <c r="F8" i="9" a="1"/>
  <c r="F8" i="9" s="1"/>
  <c r="E8" i="9"/>
  <c r="D8" i="9"/>
  <c r="D9" i="9" s="1"/>
  <c r="D10" i="9" s="1"/>
  <c r="D11" i="9" s="1"/>
  <c r="D12" i="9" s="1"/>
  <c r="D13" i="9" s="1"/>
  <c r="D14" i="9" s="1"/>
  <c r="D15" i="9" s="1"/>
  <c r="N7" i="9" a="1"/>
  <c r="N7" i="9" s="1"/>
  <c r="N6" i="9" a="1"/>
  <c r="N6" i="9" s="1"/>
  <c r="N5" i="9" a="1"/>
  <c r="N5" i="9" s="1"/>
  <c r="G33" i="19" l="1" a="1"/>
  <c r="G33" i="19" s="1"/>
  <c r="H33" i="19" s="1"/>
  <c r="E34" i="19" s="1"/>
  <c r="N12" i="19" a="1"/>
  <c r="N12" i="19" s="1"/>
  <c r="M13" i="19" s="1"/>
  <c r="D10" i="19"/>
  <c r="H8" i="19"/>
  <c r="E9" i="19" s="1"/>
  <c r="G8" i="19" a="1"/>
  <c r="G8" i="19" s="1"/>
  <c r="D36" i="19"/>
  <c r="L36" i="18"/>
  <c r="J40" i="18" s="1"/>
  <c r="D35" i="18"/>
  <c r="H33" i="18"/>
  <c r="E34" i="18" s="1"/>
  <c r="L15" i="18"/>
  <c r="D10" i="18"/>
  <c r="F8" i="18" a="1"/>
  <c r="F8" i="18" s="1"/>
  <c r="G8" i="18" s="1" a="1"/>
  <c r="G8" i="18" s="1"/>
  <c r="L36" i="17"/>
  <c r="J40" i="17" s="1"/>
  <c r="G33" i="17" a="1"/>
  <c r="G33" i="17" s="1"/>
  <c r="H33" i="17" s="1"/>
  <c r="E34" i="17" s="1"/>
  <c r="M12" i="17"/>
  <c r="D10" i="17"/>
  <c r="G8" i="17" a="1"/>
  <c r="G8" i="17" s="1"/>
  <c r="H8" i="17" s="1"/>
  <c r="E9" i="17" s="1"/>
  <c r="L36" i="16"/>
  <c r="M12" i="16"/>
  <c r="N12" i="16" s="1" a="1"/>
  <c r="N12" i="16" s="1"/>
  <c r="M13" i="16" s="1"/>
  <c r="N13" i="16" s="1" a="1"/>
  <c r="N13" i="16" s="1"/>
  <c r="H33" i="16"/>
  <c r="E34" i="16" s="1"/>
  <c r="F34" i="16" s="1" a="1"/>
  <c r="F34" i="16" s="1"/>
  <c r="L14" i="16"/>
  <c r="G8" i="16" a="1"/>
  <c r="G8" i="16" s="1"/>
  <c r="H8" i="16" s="1"/>
  <c r="E9" i="16" s="1"/>
  <c r="D9" i="16"/>
  <c r="J40" i="16"/>
  <c r="L36" i="15"/>
  <c r="J40" i="15" s="1"/>
  <c r="M12" i="15"/>
  <c r="D11" i="15"/>
  <c r="D35" i="15"/>
  <c r="F8" i="15" a="1"/>
  <c r="F8" i="15" s="1"/>
  <c r="G8" i="15" s="1" a="1"/>
  <c r="G8" i="15" s="1"/>
  <c r="F33" i="15" a="1"/>
  <c r="F33" i="15" s="1"/>
  <c r="L36" i="14"/>
  <c r="J40" i="14" s="1"/>
  <c r="M12" i="14"/>
  <c r="N12" i="14" s="1" a="1"/>
  <c r="N12" i="14" s="1"/>
  <c r="M13" i="14" s="1"/>
  <c r="D36" i="14"/>
  <c r="G8" i="14" a="1"/>
  <c r="G8" i="14" s="1"/>
  <c r="H8" i="14" s="1"/>
  <c r="E9" i="14" s="1"/>
  <c r="F33" i="14" a="1"/>
  <c r="F33" i="14" s="1"/>
  <c r="D9" i="14"/>
  <c r="L36" i="13"/>
  <c r="J40" i="13" s="1"/>
  <c r="D34" i="13"/>
  <c r="F33" i="13" a="1"/>
  <c r="F33" i="13" s="1"/>
  <c r="G33" i="13" s="1" a="1"/>
  <c r="G33" i="13" s="1"/>
  <c r="M12" i="13"/>
  <c r="N12" i="13" s="1" a="1"/>
  <c r="N12" i="13" s="1"/>
  <c r="M13" i="13" s="1"/>
  <c r="D10" i="13"/>
  <c r="F8" i="13" a="1"/>
  <c r="F8" i="13" s="1"/>
  <c r="G8" i="13" s="1" a="1"/>
  <c r="G8" i="13" s="1"/>
  <c r="J40" i="12"/>
  <c r="L36" i="12"/>
  <c r="D36" i="12"/>
  <c r="G33" i="12" a="1"/>
  <c r="G33" i="12" s="1"/>
  <c r="H33" i="12" s="1"/>
  <c r="E34" i="12" s="1"/>
  <c r="F34" i="12" s="1" a="1"/>
  <c r="F34" i="12" s="1"/>
  <c r="G34" i="12" s="1" a="1"/>
  <c r="G34" i="12" s="1"/>
  <c r="M12" i="12"/>
  <c r="N12" i="12" s="1" a="1"/>
  <c r="N12" i="12" s="1"/>
  <c r="L13" i="12"/>
  <c r="F8" i="12" a="1"/>
  <c r="F8" i="12" s="1"/>
  <c r="G8" i="12" s="1" a="1"/>
  <c r="G8" i="12" s="1"/>
  <c r="D10" i="12"/>
  <c r="L36" i="11"/>
  <c r="J40" i="11" s="1"/>
  <c r="C55" i="11"/>
  <c r="H55" i="11" s="1"/>
  <c r="E55" i="11"/>
  <c r="G33" i="11" a="1"/>
  <c r="G33" i="11" s="1"/>
  <c r="H33" i="11" s="1"/>
  <c r="D36" i="11"/>
  <c r="D37" i="11" s="1"/>
  <c r="M12" i="11"/>
  <c r="D10" i="11"/>
  <c r="H8" i="11"/>
  <c r="G33" i="10" a="1"/>
  <c r="G33" i="10" s="1"/>
  <c r="H33" i="10" s="1"/>
  <c r="E34" i="10" s="1"/>
  <c r="G8" i="10" a="1"/>
  <c r="G8" i="10" s="1"/>
  <c r="H8" i="10" s="1"/>
  <c r="E9" i="10" s="1"/>
  <c r="M12" i="10"/>
  <c r="N12" i="10" s="1" a="1"/>
  <c r="N12" i="10" s="1"/>
  <c r="O12" i="10" s="1"/>
  <c r="D10" i="10"/>
  <c r="D35" i="10"/>
  <c r="L36" i="9"/>
  <c r="D16" i="9"/>
  <c r="D35" i="9"/>
  <c r="D36" i="9" s="1"/>
  <c r="F33" i="9" a="1"/>
  <c r="F33" i="9" s="1"/>
  <c r="M12" i="9"/>
  <c r="N12" i="9" s="1" a="1"/>
  <c r="N12" i="9" s="1"/>
  <c r="O12" i="9" s="1"/>
  <c r="P12" i="9" s="1"/>
  <c r="G8" i="9" a="1"/>
  <c r="G8" i="9" s="1"/>
  <c r="H8" i="9" s="1"/>
  <c r="E9" i="9" s="1"/>
  <c r="F9" i="9" s="1" a="1"/>
  <c r="F9" i="9" s="1"/>
  <c r="N13" i="19" l="1" a="1"/>
  <c r="N13" i="19" s="1"/>
  <c r="F34" i="19" a="1"/>
  <c r="F34" i="19" s="1"/>
  <c r="F9" i="19" a="1"/>
  <c r="F9" i="19" s="1"/>
  <c r="D11" i="19"/>
  <c r="O12" i="19"/>
  <c r="P12" i="19" s="1"/>
  <c r="D37" i="19"/>
  <c r="O13" i="19"/>
  <c r="P13" i="19" s="1"/>
  <c r="N7" i="18" a="1"/>
  <c r="N7" i="18" s="1"/>
  <c r="N6" i="18" a="1"/>
  <c r="N6" i="18" s="1"/>
  <c r="M12" i="18" s="1"/>
  <c r="N12" i="18" s="1" a="1"/>
  <c r="N12" i="18" s="1"/>
  <c r="F34" i="18" a="1"/>
  <c r="F34" i="18" s="1"/>
  <c r="G34" i="18" s="1" a="1"/>
  <c r="G34" i="18" s="1"/>
  <c r="D36" i="18"/>
  <c r="D11" i="18"/>
  <c r="L16" i="18"/>
  <c r="H8" i="18"/>
  <c r="E9" i="18" s="1"/>
  <c r="F9" i="17" a="1"/>
  <c r="F9" i="17" s="1"/>
  <c r="G9" i="17" s="1" a="1"/>
  <c r="G9" i="17" s="1"/>
  <c r="H9" i="17" s="1"/>
  <c r="E10" i="17" s="1"/>
  <c r="F34" i="17" a="1"/>
  <c r="F34" i="17" s="1"/>
  <c r="G34" i="17" s="1" a="1"/>
  <c r="G34" i="17" s="1"/>
  <c r="D11" i="17"/>
  <c r="N12" i="17" a="1"/>
  <c r="N12" i="17" s="1"/>
  <c r="O13" i="16"/>
  <c r="P13" i="16" s="1"/>
  <c r="F9" i="16" a="1"/>
  <c r="F9" i="16" s="1"/>
  <c r="D10" i="16"/>
  <c r="M14" i="16"/>
  <c r="N14" i="16" s="1" a="1"/>
  <c r="N14" i="16" s="1"/>
  <c r="O12" i="16"/>
  <c r="P12" i="16" s="1"/>
  <c r="L15" i="16"/>
  <c r="G34" i="16" a="1"/>
  <c r="G34" i="16" s="1"/>
  <c r="H34" i="16" s="1"/>
  <c r="E35" i="16" s="1"/>
  <c r="N12" i="15" a="1"/>
  <c r="N12" i="15" s="1"/>
  <c r="O12" i="15" s="1"/>
  <c r="P12" i="15" s="1"/>
  <c r="H8" i="15"/>
  <c r="E9" i="15" s="1"/>
  <c r="G33" i="15" a="1"/>
  <c r="G33" i="15" s="1"/>
  <c r="H33" i="15" s="1"/>
  <c r="E34" i="15" s="1"/>
  <c r="D36" i="15"/>
  <c r="F9" i="14" a="1"/>
  <c r="F9" i="14" s="1"/>
  <c r="G9" i="14" s="1" a="1"/>
  <c r="G9" i="14" s="1"/>
  <c r="D10" i="14"/>
  <c r="N13" i="14" a="1"/>
  <c r="N13" i="14" s="1"/>
  <c r="M14" i="14" s="1"/>
  <c r="G33" i="14" a="1"/>
  <c r="G33" i="14" s="1"/>
  <c r="H33" i="14" s="1"/>
  <c r="E34" i="14" s="1"/>
  <c r="O12" i="14"/>
  <c r="P12" i="14" s="1"/>
  <c r="D37" i="14"/>
  <c r="D35" i="13"/>
  <c r="H33" i="13"/>
  <c r="E34" i="13" s="1"/>
  <c r="N13" i="13" a="1"/>
  <c r="N13" i="13" s="1"/>
  <c r="O12" i="13"/>
  <c r="P12" i="13" s="1"/>
  <c r="D11" i="13"/>
  <c r="H8" i="13"/>
  <c r="E9" i="13" s="1"/>
  <c r="D11" i="12"/>
  <c r="H34" i="12"/>
  <c r="E35" i="12" s="1"/>
  <c r="F35" i="12" s="1" a="1"/>
  <c r="F35" i="12" s="1"/>
  <c r="M13" i="12"/>
  <c r="N13" i="12" s="1" a="1"/>
  <c r="N13" i="12" s="1"/>
  <c r="O13" i="12" s="1"/>
  <c r="P13" i="12" s="1"/>
  <c r="D37" i="12"/>
  <c r="D38" i="12" s="1"/>
  <c r="H8" i="12"/>
  <c r="E9" i="12" s="1"/>
  <c r="F9" i="12" s="1" a="1"/>
  <c r="F9" i="12" s="1"/>
  <c r="G9" i="12" s="1" a="1"/>
  <c r="G9" i="12" s="1"/>
  <c r="H9" i="12" s="1"/>
  <c r="E10" i="12" s="1"/>
  <c r="F10" i="12" s="1" a="1"/>
  <c r="F10" i="12" s="1"/>
  <c r="G10" i="12" s="1" a="1"/>
  <c r="G10" i="12" s="1"/>
  <c r="L14" i="12"/>
  <c r="O12" i="12"/>
  <c r="P12" i="12" s="1"/>
  <c r="N12" i="11" a="1"/>
  <c r="N12" i="11" s="1"/>
  <c r="F34" i="11" a="1"/>
  <c r="F34" i="11" s="1"/>
  <c r="G34" i="11" s="1" a="1"/>
  <c r="G34" i="11" s="1"/>
  <c r="F9" i="11" a="1"/>
  <c r="F9" i="11" s="1"/>
  <c r="D11" i="11"/>
  <c r="P12" i="10"/>
  <c r="M13" i="10"/>
  <c r="N13" i="10" s="1" a="1"/>
  <c r="N13" i="10" s="1"/>
  <c r="O13" i="10" s="1"/>
  <c r="P13" i="10" s="1"/>
  <c r="F9" i="10" a="1"/>
  <c r="F9" i="10" s="1"/>
  <c r="G9" i="10" s="1" a="1"/>
  <c r="G9" i="10" s="1"/>
  <c r="H9" i="10" s="1"/>
  <c r="E10" i="10" s="1"/>
  <c r="F34" i="10" a="1"/>
  <c r="F34" i="10" s="1"/>
  <c r="D11" i="10"/>
  <c r="D36" i="10"/>
  <c r="D17" i="9"/>
  <c r="G33" i="9" a="1"/>
  <c r="G33" i="9" s="1"/>
  <c r="H33" i="9" s="1"/>
  <c r="E34" i="9" s="1"/>
  <c r="G9" i="9" a="1"/>
  <c r="G9" i="9" s="1"/>
  <c r="H9" i="9" s="1"/>
  <c r="E10" i="9" s="1"/>
  <c r="F10" i="9" s="1" a="1"/>
  <c r="F10" i="9" s="1"/>
  <c r="M13" i="9"/>
  <c r="G9" i="19" l="1" a="1"/>
  <c r="G9" i="19" s="1"/>
  <c r="H9" i="19" s="1"/>
  <c r="E10" i="19" s="1"/>
  <c r="D12" i="19"/>
  <c r="H34" i="18"/>
  <c r="E35" i="18" s="1"/>
  <c r="G34" i="19" a="1"/>
  <c r="G34" i="19" s="1"/>
  <c r="H34" i="19" s="1"/>
  <c r="E35" i="19" s="1"/>
  <c r="M14" i="19"/>
  <c r="F35" i="18" a="1"/>
  <c r="F35" i="18" s="1"/>
  <c r="G35" i="18" s="1" a="1"/>
  <c r="G35" i="18" s="1"/>
  <c r="D37" i="18"/>
  <c r="F9" i="18" a="1"/>
  <c r="F9" i="18" s="1"/>
  <c r="L17" i="18"/>
  <c r="D12" i="18"/>
  <c r="M13" i="18"/>
  <c r="O12" i="18"/>
  <c r="P12" i="18" s="1"/>
  <c r="F10" i="17" a="1"/>
  <c r="F10" i="17" s="1"/>
  <c r="G10" i="17" s="1" a="1"/>
  <c r="G10" i="17" s="1"/>
  <c r="O12" i="17"/>
  <c r="P12" i="17" s="1"/>
  <c r="M13" i="17"/>
  <c r="D12" i="17"/>
  <c r="H34" i="17"/>
  <c r="E35" i="17" s="1"/>
  <c r="F35" i="16" a="1"/>
  <c r="F35" i="16" s="1"/>
  <c r="G35" i="16" s="1" a="1"/>
  <c r="G35" i="16" s="1"/>
  <c r="G9" i="16" a="1"/>
  <c r="G9" i="16" s="1"/>
  <c r="H9" i="16" s="1"/>
  <c r="E10" i="16" s="1"/>
  <c r="F10" i="16" s="1" a="1"/>
  <c r="F10" i="16" s="1"/>
  <c r="D11" i="16"/>
  <c r="D12" i="16" s="1"/>
  <c r="O14" i="16"/>
  <c r="P14" i="16" s="1"/>
  <c r="L16" i="16"/>
  <c r="M13" i="15"/>
  <c r="F34" i="15" a="1"/>
  <c r="F34" i="15" s="1"/>
  <c r="D37" i="15"/>
  <c r="F9" i="15" a="1"/>
  <c r="F9" i="15" s="1"/>
  <c r="H9" i="14"/>
  <c r="E10" i="14" s="1"/>
  <c r="F10" i="14" s="1" a="1"/>
  <c r="F10" i="14" s="1"/>
  <c r="G10" i="14" s="1" a="1"/>
  <c r="G10" i="14" s="1"/>
  <c r="H10" i="14" s="1"/>
  <c r="E11" i="14" s="1"/>
  <c r="F34" i="14" a="1"/>
  <c r="F34" i="14" s="1"/>
  <c r="G34" i="14" s="1" a="1"/>
  <c r="G34" i="14" s="1"/>
  <c r="N14" i="14" a="1"/>
  <c r="N14" i="14" s="1"/>
  <c r="M15" i="14" s="1"/>
  <c r="N15" i="14" s="1" a="1"/>
  <c r="N15" i="14" s="1"/>
  <c r="D11" i="14"/>
  <c r="O13" i="14"/>
  <c r="P13" i="14" s="1"/>
  <c r="F34" i="13" a="1"/>
  <c r="F34" i="13" s="1"/>
  <c r="D36" i="13"/>
  <c r="O13" i="13"/>
  <c r="P13" i="13" s="1"/>
  <c r="F9" i="13" a="1"/>
  <c r="F9" i="13" s="1"/>
  <c r="G9" i="13" s="1" a="1"/>
  <c r="G9" i="13" s="1"/>
  <c r="M14" i="13"/>
  <c r="G35" i="12" a="1"/>
  <c r="G35" i="12" s="1"/>
  <c r="H35" i="12" s="1"/>
  <c r="E36" i="12" s="1"/>
  <c r="F36" i="12" s="1" a="1"/>
  <c r="F36" i="12" s="1"/>
  <c r="G36" i="12" s="1" a="1"/>
  <c r="G36" i="12" s="1"/>
  <c r="M14" i="12"/>
  <c r="N14" i="12" s="1" a="1"/>
  <c r="N14" i="12" s="1"/>
  <c r="O14" i="12" s="1"/>
  <c r="P14" i="12" s="1"/>
  <c r="H10" i="12"/>
  <c r="E11" i="12" s="1"/>
  <c r="F11" i="12" s="1" a="1"/>
  <c r="F11" i="12" s="1"/>
  <c r="G11" i="12" s="1" a="1"/>
  <c r="G11" i="12" s="1"/>
  <c r="L15" i="12"/>
  <c r="O12" i="11"/>
  <c r="P12" i="11" s="1"/>
  <c r="M13" i="11"/>
  <c r="H34" i="11"/>
  <c r="P18" i="11"/>
  <c r="G9" i="11" a="1"/>
  <c r="G9" i="11" s="1"/>
  <c r="H9" i="11" s="1"/>
  <c r="F10" i="10" a="1"/>
  <c r="F10" i="10" s="1"/>
  <c r="G10" i="10" s="1" a="1"/>
  <c r="G10" i="10" s="1"/>
  <c r="H10" i="10" s="1"/>
  <c r="E11" i="10" s="1"/>
  <c r="D12" i="10"/>
  <c r="G34" i="10" a="1"/>
  <c r="G34" i="10" s="1"/>
  <c r="H34" i="10" s="1"/>
  <c r="E35" i="10" s="1"/>
  <c r="D18" i="9"/>
  <c r="D19" i="9" s="1"/>
  <c r="D20" i="9" s="1"/>
  <c r="D21" i="9" s="1"/>
  <c r="D22" i="9" s="1"/>
  <c r="D23" i="9" s="1"/>
  <c r="F34" i="9" a="1"/>
  <c r="F34" i="9" s="1"/>
  <c r="N13" i="9" a="1"/>
  <c r="N13" i="9" s="1"/>
  <c r="O13" i="9" s="1"/>
  <c r="P13" i="9" s="1"/>
  <c r="G10" i="9" a="1"/>
  <c r="G10" i="9" s="1"/>
  <c r="H10" i="9" s="1"/>
  <c r="E11" i="9" s="1"/>
  <c r="F35" i="19" l="1" a="1"/>
  <c r="F35" i="19" s="1"/>
  <c r="F10" i="19" a="1"/>
  <c r="F10" i="19" s="1"/>
  <c r="N14" i="19" a="1"/>
  <c r="N14" i="19" s="1"/>
  <c r="H35" i="18"/>
  <c r="E36" i="18" s="1"/>
  <c r="F36" i="18" a="1"/>
  <c r="F36" i="18" s="1"/>
  <c r="L18" i="18"/>
  <c r="G9" i="18" a="1"/>
  <c r="G9" i="18" s="1"/>
  <c r="H9" i="18" s="1"/>
  <c r="E10" i="18" s="1"/>
  <c r="N13" i="18" a="1"/>
  <c r="N13" i="18" s="1"/>
  <c r="H10" i="17"/>
  <c r="E11" i="17" s="1"/>
  <c r="F11" i="17" s="1" a="1"/>
  <c r="F11" i="17" s="1"/>
  <c r="N13" i="17" a="1"/>
  <c r="N13" i="17" s="1"/>
  <c r="F35" i="17" a="1"/>
  <c r="F35" i="17" s="1"/>
  <c r="H35" i="16"/>
  <c r="G10" i="16" a="1"/>
  <c r="G10" i="16" s="1"/>
  <c r="H10" i="16" s="1"/>
  <c r="E11" i="16" s="1"/>
  <c r="F11" i="16" s="1" a="1"/>
  <c r="F11" i="16" s="1"/>
  <c r="L17" i="16"/>
  <c r="M15" i="16"/>
  <c r="N15" i="16" s="1" a="1"/>
  <c r="N15" i="16" s="1"/>
  <c r="N13" i="15" a="1"/>
  <c r="N13" i="15" s="1"/>
  <c r="O13" i="15" s="1"/>
  <c r="P13" i="15" s="1"/>
  <c r="G9" i="15" a="1"/>
  <c r="G9" i="15" s="1"/>
  <c r="H9" i="15" s="1"/>
  <c r="E10" i="15" s="1"/>
  <c r="G34" i="15" a="1"/>
  <c r="G34" i="15" s="1"/>
  <c r="H34" i="15" s="1"/>
  <c r="E35" i="15" s="1"/>
  <c r="M16" i="14"/>
  <c r="N16" i="14" s="1" a="1"/>
  <c r="N16" i="14" s="1"/>
  <c r="O16" i="14" s="1"/>
  <c r="P16" i="14" s="1"/>
  <c r="H34" i="14"/>
  <c r="E35" i="14" s="1"/>
  <c r="F35" i="14" s="1" a="1"/>
  <c r="F35" i="14" s="1"/>
  <c r="G35" i="14" s="1" a="1"/>
  <c r="G35" i="14" s="1"/>
  <c r="H35" i="14" s="1"/>
  <c r="E36" i="14" s="1"/>
  <c r="F11" i="14" a="1"/>
  <c r="F11" i="14" s="1"/>
  <c r="O14" i="14"/>
  <c r="P14" i="14" s="1"/>
  <c r="O15" i="14"/>
  <c r="P15" i="14" s="1"/>
  <c r="D37" i="13"/>
  <c r="G34" i="13" a="1"/>
  <c r="G34" i="13" s="1"/>
  <c r="H34" i="13" s="1"/>
  <c r="E35" i="13" s="1"/>
  <c r="H9" i="13"/>
  <c r="E10" i="13" s="1"/>
  <c r="F10" i="13" s="1" a="1"/>
  <c r="F10" i="13" s="1"/>
  <c r="G10" i="13" s="1" a="1"/>
  <c r="G10" i="13" s="1"/>
  <c r="N14" i="13" a="1"/>
  <c r="N14" i="13" s="1"/>
  <c r="L16" i="12"/>
  <c r="H36" i="12"/>
  <c r="E37" i="12" s="1"/>
  <c r="M15" i="12"/>
  <c r="N15" i="12" s="1" a="1"/>
  <c r="N15" i="12" s="1"/>
  <c r="H11" i="12"/>
  <c r="E12" i="12" s="1"/>
  <c r="N13" i="11" a="1"/>
  <c r="N13" i="11" s="1"/>
  <c r="F35" i="11" a="1"/>
  <c r="F35" i="11" s="1"/>
  <c r="G35" i="11" s="1" a="1"/>
  <c r="G35" i="11" s="1"/>
  <c r="H35" i="11" s="1"/>
  <c r="E36" i="11" s="1"/>
  <c r="F10" i="11" a="1"/>
  <c r="F10" i="11" s="1"/>
  <c r="G10" i="11" s="1" a="1"/>
  <c r="G10" i="11" s="1"/>
  <c r="F35" i="10" a="1"/>
  <c r="F35" i="10" s="1"/>
  <c r="F11" i="10" a="1"/>
  <c r="F11" i="10" s="1"/>
  <c r="D13" i="10"/>
  <c r="F11" i="9" a="1"/>
  <c r="F11" i="9" s="1"/>
  <c r="G11" i="9" s="1" a="1"/>
  <c r="G11" i="9" s="1"/>
  <c r="H11" i="9" s="1"/>
  <c r="E12" i="9" s="1"/>
  <c r="G34" i="9" a="1"/>
  <c r="G34" i="9" s="1"/>
  <c r="H34" i="9" s="1"/>
  <c r="E35" i="9" s="1"/>
  <c r="O14" i="19" l="1"/>
  <c r="P14" i="19" s="1"/>
  <c r="M15" i="19"/>
  <c r="G10" i="19" a="1"/>
  <c r="G10" i="19" s="1"/>
  <c r="H10" i="19" s="1"/>
  <c r="E11" i="19" s="1"/>
  <c r="G35" i="19" a="1"/>
  <c r="G35" i="19" s="1"/>
  <c r="H35" i="19" s="1"/>
  <c r="E36" i="19" s="1"/>
  <c r="G36" i="18" a="1"/>
  <c r="G36" i="18" s="1"/>
  <c r="H36" i="18" s="1"/>
  <c r="E37" i="18" s="1"/>
  <c r="F10" i="18" a="1"/>
  <c r="F10" i="18" s="1"/>
  <c r="M14" i="18"/>
  <c r="O13" i="18"/>
  <c r="P13" i="18" s="1"/>
  <c r="G35" i="17" a="1"/>
  <c r="G35" i="17" s="1"/>
  <c r="H35" i="17" s="1"/>
  <c r="M14" i="17"/>
  <c r="O13" i="17"/>
  <c r="P13" i="17" s="1"/>
  <c r="M14" i="15"/>
  <c r="N14" i="15" s="1" a="1"/>
  <c r="N14" i="15" s="1"/>
  <c r="G11" i="17" a="1"/>
  <c r="G11" i="17" s="1"/>
  <c r="H11" i="17" s="1"/>
  <c r="E12" i="17" s="1"/>
  <c r="G11" i="16" a="1"/>
  <c r="G11" i="16" s="1"/>
  <c r="H11" i="16" s="1"/>
  <c r="E12" i="16" s="1"/>
  <c r="L18" i="16"/>
  <c r="F35" i="15" a="1"/>
  <c r="F35" i="15" s="1"/>
  <c r="F10" i="15" a="1"/>
  <c r="F10" i="15" s="1"/>
  <c r="F36" i="14" a="1"/>
  <c r="F36" i="14" s="1"/>
  <c r="G11" i="14" a="1"/>
  <c r="G11" i="14" s="1"/>
  <c r="H11" i="14" s="1"/>
  <c r="E12" i="14" s="1"/>
  <c r="F35" i="13" a="1"/>
  <c r="F35" i="13" s="1"/>
  <c r="H10" i="13"/>
  <c r="E11" i="13" s="1"/>
  <c r="F11" i="13" s="1" a="1"/>
  <c r="F11" i="13" s="1"/>
  <c r="G11" i="13" s="1" a="1"/>
  <c r="G11" i="13" s="1"/>
  <c r="H11" i="13" s="1"/>
  <c r="M15" i="13"/>
  <c r="N15" i="13" s="1" a="1"/>
  <c r="N15" i="13" s="1"/>
  <c r="O14" i="13"/>
  <c r="P14" i="13" s="1"/>
  <c r="F12" i="12" a="1"/>
  <c r="F12" i="12" s="1"/>
  <c r="G12" i="12" s="1" a="1"/>
  <c r="G12" i="12" s="1"/>
  <c r="H12" i="12" s="1"/>
  <c r="E13" i="12" s="1"/>
  <c r="M16" i="12"/>
  <c r="N16" i="12" s="1" a="1"/>
  <c r="N16" i="12" s="1"/>
  <c r="O16" i="12" s="1"/>
  <c r="P16" i="12" s="1"/>
  <c r="O15" i="12"/>
  <c r="P15" i="12" s="1"/>
  <c r="F37" i="12" a="1"/>
  <c r="F37" i="12" s="1"/>
  <c r="M14" i="11"/>
  <c r="O13" i="11"/>
  <c r="P13" i="11" s="1"/>
  <c r="F36" i="11" a="1"/>
  <c r="F36" i="11" s="1"/>
  <c r="P19" i="11"/>
  <c r="H10" i="11"/>
  <c r="G11" i="10" a="1"/>
  <c r="G11" i="10" s="1"/>
  <c r="H11" i="10" s="1"/>
  <c r="E12" i="10" s="1"/>
  <c r="D14" i="10"/>
  <c r="G35" i="10" a="1"/>
  <c r="G35" i="10" s="1"/>
  <c r="H35" i="10" s="1"/>
  <c r="E36" i="10" s="1"/>
  <c r="F12" i="9" a="1"/>
  <c r="F12" i="9" s="1"/>
  <c r="G12" i="9" s="1" a="1"/>
  <c r="G12" i="9" s="1"/>
  <c r="H12" i="9" s="1"/>
  <c r="E13" i="9" s="1"/>
  <c r="F35" i="9" a="1"/>
  <c r="F35" i="9" s="1"/>
  <c r="F36" i="19" l="1" a="1"/>
  <c r="F36" i="19" s="1"/>
  <c r="F11" i="19" a="1"/>
  <c r="F11" i="19" s="1"/>
  <c r="N15" i="19" a="1"/>
  <c r="N15" i="19" s="1"/>
  <c r="F37" i="18" a="1"/>
  <c r="F37" i="18" s="1"/>
  <c r="N14" i="18" a="1"/>
  <c r="N14" i="18" s="1"/>
  <c r="G10" i="18" a="1"/>
  <c r="G10" i="18" s="1"/>
  <c r="H10" i="18" s="1"/>
  <c r="E11" i="18" s="1"/>
  <c r="F12" i="17" a="1"/>
  <c r="F12" i="17" s="1"/>
  <c r="N14" i="17" a="1"/>
  <c r="N14" i="17" s="1"/>
  <c r="F12" i="16" a="1"/>
  <c r="F12" i="16" s="1"/>
  <c r="G12" i="16" s="1" a="1"/>
  <c r="G12" i="16" s="1"/>
  <c r="H12" i="16" s="1"/>
  <c r="M16" i="16"/>
  <c r="N16" i="16" s="1" a="1"/>
  <c r="N16" i="16" s="1"/>
  <c r="O15" i="16"/>
  <c r="P15" i="16" s="1"/>
  <c r="F12" i="14" a="1"/>
  <c r="F12" i="14" s="1"/>
  <c r="G12" i="14" s="1" a="1"/>
  <c r="G12" i="14" s="1"/>
  <c r="H12" i="14" s="1"/>
  <c r="G10" i="15" a="1"/>
  <c r="G10" i="15" s="1"/>
  <c r="H10" i="15" s="1"/>
  <c r="E11" i="15" s="1"/>
  <c r="G35" i="15" a="1"/>
  <c r="G35" i="15" s="1"/>
  <c r="H35" i="15" s="1"/>
  <c r="E36" i="15" s="1"/>
  <c r="M15" i="15"/>
  <c r="O14" i="15"/>
  <c r="P14" i="15" s="1"/>
  <c r="G36" i="14" a="1"/>
  <c r="G36" i="14" s="1"/>
  <c r="H36" i="14" s="1"/>
  <c r="E37" i="14" s="1"/>
  <c r="G35" i="13" a="1"/>
  <c r="G35" i="13" s="1"/>
  <c r="H35" i="13" s="1"/>
  <c r="E36" i="13" s="1"/>
  <c r="M16" i="13"/>
  <c r="N16" i="13" s="1" a="1"/>
  <c r="N16" i="13" s="1"/>
  <c r="O16" i="13" s="1"/>
  <c r="P16" i="13" s="1"/>
  <c r="O15" i="13"/>
  <c r="P15" i="13" s="1"/>
  <c r="F13" i="12" a="1"/>
  <c r="F13" i="12" s="1"/>
  <c r="G13" i="12" s="1" a="1"/>
  <c r="G13" i="12" s="1"/>
  <c r="H13" i="12" s="1"/>
  <c r="E14" i="12" s="1"/>
  <c r="G37" i="12" a="1"/>
  <c r="G37" i="12" s="1"/>
  <c r="H37" i="12" s="1"/>
  <c r="E38" i="12" s="1"/>
  <c r="N14" i="11" a="1"/>
  <c r="N14" i="11" s="1"/>
  <c r="G36" i="11" a="1"/>
  <c r="G36" i="11" s="1"/>
  <c r="H36" i="11" s="1"/>
  <c r="E37" i="11" s="1"/>
  <c r="F11" i="11" a="1"/>
  <c r="F11" i="11" s="1"/>
  <c r="F36" i="10" a="1"/>
  <c r="F36" i="10" s="1"/>
  <c r="F12" i="10" a="1"/>
  <c r="F12" i="10" s="1"/>
  <c r="G12" i="10" s="1" a="1"/>
  <c r="G12" i="10" s="1"/>
  <c r="D15" i="10"/>
  <c r="F13" i="9" a="1"/>
  <c r="F13" i="9" s="1"/>
  <c r="G13" i="9" s="1" a="1"/>
  <c r="G13" i="9" s="1"/>
  <c r="G35" i="9" a="1"/>
  <c r="G35" i="9" s="1"/>
  <c r="H35" i="9" s="1"/>
  <c r="E36" i="9" s="1"/>
  <c r="O15" i="19" l="1"/>
  <c r="P15" i="19" s="1"/>
  <c r="M16" i="19"/>
  <c r="G11" i="19" a="1"/>
  <c r="G11" i="19" s="1"/>
  <c r="H11" i="19" s="1"/>
  <c r="E12" i="19" s="1"/>
  <c r="G36" i="19" a="1"/>
  <c r="G36" i="19" s="1"/>
  <c r="H36" i="19" s="1"/>
  <c r="E37" i="19" s="1"/>
  <c r="G37" i="18" a="1"/>
  <c r="G37" i="18" s="1"/>
  <c r="H37" i="18" s="1"/>
  <c r="F11" i="18" a="1"/>
  <c r="F11" i="18" s="1"/>
  <c r="O14" i="18"/>
  <c r="P14" i="18" s="1"/>
  <c r="M15" i="18"/>
  <c r="O14" i="17"/>
  <c r="P14" i="17" s="1"/>
  <c r="M15" i="17"/>
  <c r="G12" i="17" a="1"/>
  <c r="G12" i="17" s="1"/>
  <c r="H12" i="17" s="1"/>
  <c r="N15" i="15" a="1"/>
  <c r="N15" i="15" s="1"/>
  <c r="F36" i="15" a="1"/>
  <c r="F36" i="15" s="1"/>
  <c r="F11" i="15" a="1"/>
  <c r="F11" i="15" s="1"/>
  <c r="F37" i="14" a="1"/>
  <c r="F37" i="14" s="1"/>
  <c r="F36" i="13" a="1"/>
  <c r="F36" i="13" s="1"/>
  <c r="F14" i="12" a="1"/>
  <c r="F14" i="12" s="1"/>
  <c r="G14" i="12" s="1" a="1"/>
  <c r="G14" i="12" s="1"/>
  <c r="F38" i="12" a="1"/>
  <c r="F38" i="12" s="1"/>
  <c r="G38" i="12" s="1" a="1"/>
  <c r="G38" i="12" s="1"/>
  <c r="O14" i="11"/>
  <c r="P14" i="11" s="1"/>
  <c r="M15" i="11"/>
  <c r="F37" i="11" a="1"/>
  <c r="F37" i="11" s="1"/>
  <c r="G37" i="11" s="1" a="1"/>
  <c r="G37" i="11" s="1"/>
  <c r="H37" i="11" s="1"/>
  <c r="P20" i="11"/>
  <c r="G11" i="11" a="1"/>
  <c r="G11" i="11" s="1"/>
  <c r="H11" i="11" s="1"/>
  <c r="H12" i="10"/>
  <c r="E13" i="10" s="1"/>
  <c r="D16" i="10"/>
  <c r="G36" i="10" a="1"/>
  <c r="G36" i="10" s="1"/>
  <c r="H36" i="10" s="1"/>
  <c r="H13" i="9"/>
  <c r="E14" i="9" s="1"/>
  <c r="F36" i="9" a="1"/>
  <c r="F36" i="9" s="1"/>
  <c r="G36" i="9" s="1" a="1"/>
  <c r="G36" i="9" s="1"/>
  <c r="H36" i="9" s="1"/>
  <c r="F37" i="19" l="1" a="1"/>
  <c r="F37" i="19" s="1"/>
  <c r="F12" i="19" a="1"/>
  <c r="F12" i="19" s="1"/>
  <c r="H12" i="19" s="1"/>
  <c r="G12" i="19" a="1"/>
  <c r="G12" i="19" s="1"/>
  <c r="N16" i="19" a="1"/>
  <c r="N16" i="19" s="1"/>
  <c r="N15" i="18" a="1"/>
  <c r="N15" i="18" s="1"/>
  <c r="G11" i="18" a="1"/>
  <c r="G11" i="18" s="1"/>
  <c r="H11" i="18" s="1"/>
  <c r="E12" i="18" s="1"/>
  <c r="N15" i="17" a="1"/>
  <c r="N15" i="17" s="1"/>
  <c r="M17" i="16"/>
  <c r="O16" i="16"/>
  <c r="P16" i="16" s="1"/>
  <c r="O15" i="15"/>
  <c r="P15" i="15" s="1"/>
  <c r="M16" i="15"/>
  <c r="G11" i="15" a="1"/>
  <c r="G11" i="15" s="1"/>
  <c r="H11" i="15" s="1"/>
  <c r="E12" i="15" s="1"/>
  <c r="G36" i="15" a="1"/>
  <c r="G36" i="15" s="1"/>
  <c r="H36" i="15" s="1"/>
  <c r="E37" i="15" s="1"/>
  <c r="G37" i="14" a="1"/>
  <c r="G37" i="14" s="1"/>
  <c r="H37" i="14" s="1"/>
  <c r="G36" i="13" a="1"/>
  <c r="G36" i="13" s="1"/>
  <c r="H36" i="13" s="1"/>
  <c r="E37" i="13" s="1"/>
  <c r="H14" i="12"/>
  <c r="H38" i="12"/>
  <c r="E39" i="12" s="1"/>
  <c r="N15" i="11" a="1"/>
  <c r="N15" i="11" s="1"/>
  <c r="D17" i="10"/>
  <c r="F13" i="10" a="1"/>
  <c r="F13" i="10" s="1"/>
  <c r="G13" i="10" s="1" a="1"/>
  <c r="G13" i="10" s="1"/>
  <c r="F14" i="9" a="1"/>
  <c r="F14" i="9" s="1"/>
  <c r="G14" i="9" s="1" a="1"/>
  <c r="G14" i="9" s="1"/>
  <c r="M17" i="19" l="1"/>
  <c r="N17" i="19" s="1" a="1"/>
  <c r="N17" i="19" s="1"/>
  <c r="O16" i="19"/>
  <c r="P16" i="19" s="1"/>
  <c r="G37" i="19" a="1"/>
  <c r="G37" i="19" s="1"/>
  <c r="H37" i="19" s="1"/>
  <c r="F12" i="18" a="1"/>
  <c r="F12" i="18" s="1"/>
  <c r="O15" i="18"/>
  <c r="P15" i="18" s="1"/>
  <c r="M16" i="18"/>
  <c r="M16" i="17"/>
  <c r="O15" i="17"/>
  <c r="P15" i="17" s="1"/>
  <c r="N17" i="16" a="1"/>
  <c r="N17" i="16" s="1"/>
  <c r="M18" i="16" s="1"/>
  <c r="N18" i="16" s="1" a="1"/>
  <c r="N18" i="16" s="1"/>
  <c r="G12" i="15" a="1"/>
  <c r="G12" i="15" s="1"/>
  <c r="H12" i="15" s="1"/>
  <c r="N16" i="15" a="1"/>
  <c r="N16" i="15" s="1"/>
  <c r="F37" i="15" a="1"/>
  <c r="F37" i="15" s="1"/>
  <c r="F37" i="13" a="1"/>
  <c r="F37" i="13" s="1"/>
  <c r="F39" i="12" a="1"/>
  <c r="F39" i="12" s="1"/>
  <c r="G39" i="12" s="1" a="1"/>
  <c r="G39" i="12" s="1"/>
  <c r="M16" i="11"/>
  <c r="N16" i="11" s="1" a="1"/>
  <c r="N16" i="11" s="1"/>
  <c r="O16" i="11" s="1"/>
  <c r="P16" i="11" s="1"/>
  <c r="O15" i="11"/>
  <c r="P15" i="11" s="1"/>
  <c r="P21" i="11"/>
  <c r="H13" i="10"/>
  <c r="E14" i="10" s="1"/>
  <c r="D18" i="10"/>
  <c r="H14" i="9"/>
  <c r="E15" i="9" s="1"/>
  <c r="F15" i="9" s="1" a="1"/>
  <c r="F15" i="9" s="1"/>
  <c r="G15" i="9" s="1" a="1"/>
  <c r="G15" i="9" s="1"/>
  <c r="O17" i="19" l="1"/>
  <c r="P17" i="19" s="1"/>
  <c r="M18" i="19"/>
  <c r="N18" i="19" s="1" a="1"/>
  <c r="N18" i="19" s="1"/>
  <c r="O18" i="19" s="1"/>
  <c r="P18" i="19" s="1"/>
  <c r="N16" i="18" a="1"/>
  <c r="N16" i="18" s="1"/>
  <c r="G12" i="18" a="1"/>
  <c r="G12" i="18" s="1"/>
  <c r="H12" i="18" s="1"/>
  <c r="N16" i="17" a="1"/>
  <c r="N16" i="17" s="1"/>
  <c r="O18" i="16"/>
  <c r="P18" i="16" s="1"/>
  <c r="O17" i="16"/>
  <c r="P17" i="16" s="1"/>
  <c r="M17" i="15"/>
  <c r="O16" i="15"/>
  <c r="P16" i="15" s="1"/>
  <c r="G37" i="15" a="1"/>
  <c r="G37" i="15" s="1"/>
  <c r="H37" i="15" s="1"/>
  <c r="G37" i="13" a="1"/>
  <c r="G37" i="13" s="1"/>
  <c r="H37" i="13" s="1"/>
  <c r="H39" i="12"/>
  <c r="D19" i="10"/>
  <c r="F14" i="10" a="1"/>
  <c r="F14" i="10" s="1"/>
  <c r="H15" i="9"/>
  <c r="E16" i="9" s="1"/>
  <c r="M17" i="18" l="1"/>
  <c r="N17" i="18" s="1" a="1"/>
  <c r="N17" i="18" s="1"/>
  <c r="M18" i="18" s="1"/>
  <c r="N18" i="18" s="1" a="1"/>
  <c r="N18" i="18" s="1"/>
  <c r="O16" i="18"/>
  <c r="P16" i="18" s="1"/>
  <c r="O16" i="17"/>
  <c r="P16" i="17" s="1"/>
  <c r="M17" i="17"/>
  <c r="N17" i="17" s="1" a="1"/>
  <c r="N17" i="17" s="1"/>
  <c r="M18" i="17" s="1"/>
  <c r="N18" i="17" s="1" a="1"/>
  <c r="N18" i="17" s="1"/>
  <c r="N17" i="15" a="1"/>
  <c r="N17" i="15" s="1"/>
  <c r="P22" i="11"/>
  <c r="G14" i="10" a="1"/>
  <c r="G14" i="10" s="1"/>
  <c r="H14" i="10" s="1"/>
  <c r="E15" i="10" s="1"/>
  <c r="D20" i="10"/>
  <c r="F16" i="9" a="1"/>
  <c r="F16" i="9" s="1"/>
  <c r="G16" i="9" s="1" a="1"/>
  <c r="G16" i="9" s="1"/>
  <c r="H16" i="9" s="1"/>
  <c r="E17" i="9" s="1"/>
  <c r="O17" i="18" l="1"/>
  <c r="P17" i="18" s="1"/>
  <c r="O18" i="18"/>
  <c r="P18" i="18" s="1"/>
  <c r="O18" i="17"/>
  <c r="P18" i="17" s="1"/>
  <c r="O17" i="17"/>
  <c r="P17" i="17" s="1"/>
  <c r="M18" i="15"/>
  <c r="N18" i="15" s="1" a="1"/>
  <c r="N18" i="15" s="1"/>
  <c r="O18" i="15" s="1"/>
  <c r="P18" i="15" s="1"/>
  <c r="O17" i="15"/>
  <c r="P17" i="15" s="1"/>
  <c r="F15" i="10" a="1"/>
  <c r="F15" i="10" s="1"/>
  <c r="D21" i="10"/>
  <c r="F17" i="9" a="1"/>
  <c r="F17" i="9" s="1"/>
  <c r="G17" i="9" s="1" a="1"/>
  <c r="G17" i="9" s="1"/>
  <c r="H17" i="9" s="1"/>
  <c r="E18" i="9" s="1"/>
  <c r="P23" i="11" l="1"/>
  <c r="D22" i="10"/>
  <c r="G15" i="10" a="1"/>
  <c r="G15" i="10" s="1"/>
  <c r="H15" i="10" s="1"/>
  <c r="E16" i="10" s="1"/>
  <c r="F18" i="9" a="1"/>
  <c r="F18" i="9" s="1"/>
  <c r="G18" i="9" s="1" a="1"/>
  <c r="G18" i="9" s="1"/>
  <c r="H18" i="9" s="1"/>
  <c r="E19" i="9" s="1"/>
  <c r="F16" i="10" l="1" a="1"/>
  <c r="F16" i="10" s="1"/>
  <c r="D23" i="10"/>
  <c r="F19" i="9" a="1"/>
  <c r="F19" i="9" s="1"/>
  <c r="G19" i="9" s="1" a="1"/>
  <c r="G19" i="9" s="1"/>
  <c r="P24" i="11" l="1"/>
  <c r="G16" i="10" a="1"/>
  <c r="G16" i="10" s="1"/>
  <c r="H16" i="10" s="1"/>
  <c r="E17" i="10" s="1"/>
  <c r="H19" i="9"/>
  <c r="E20" i="9" s="1"/>
  <c r="F17" i="10" l="1" a="1"/>
  <c r="F17" i="10" s="1"/>
  <c r="F20" i="9" a="1"/>
  <c r="F20" i="9" s="1"/>
  <c r="G20" i="9" s="1" a="1"/>
  <c r="G20" i="9" s="1"/>
  <c r="H20" i="9" s="1"/>
  <c r="E21" i="9" s="1"/>
  <c r="P25" i="11" l="1"/>
  <c r="G17" i="10" a="1"/>
  <c r="G17" i="10" s="1"/>
  <c r="H17" i="10" s="1"/>
  <c r="E18" i="10" s="1"/>
  <c r="F21" i="9" a="1"/>
  <c r="F21" i="9" s="1"/>
  <c r="G21" i="9" s="1" a="1"/>
  <c r="G21" i="9" s="1"/>
  <c r="H21" i="9" s="1"/>
  <c r="E22" i="9" s="1"/>
  <c r="F18" i="10" l="1" a="1"/>
  <c r="F18" i="10" s="1"/>
  <c r="F22" i="9" a="1"/>
  <c r="F22" i="9" s="1"/>
  <c r="G22" i="9" s="1" a="1"/>
  <c r="G22" i="9" s="1"/>
  <c r="H22" i="9" s="1"/>
  <c r="E23" i="9" s="1"/>
  <c r="P26" i="11" l="1"/>
  <c r="G18" i="10" a="1"/>
  <c r="G18" i="10" s="1"/>
  <c r="H18" i="10" s="1"/>
  <c r="E19" i="10" s="1"/>
  <c r="F23" i="9" a="1"/>
  <c r="F23" i="9" s="1"/>
  <c r="G23" i="9" s="1" a="1"/>
  <c r="G23" i="9" s="1"/>
  <c r="H23" i="9" s="1"/>
  <c r="F19" i="10" l="1" a="1"/>
  <c r="F19" i="10" s="1"/>
  <c r="P27" i="11" l="1"/>
  <c r="G19" i="10" a="1"/>
  <c r="G19" i="10" s="1"/>
  <c r="H19" i="10" s="1"/>
  <c r="E20" i="10" s="1"/>
  <c r="P28" i="11" l="1"/>
  <c r="F20" i="10" a="1"/>
  <c r="F20" i="10" s="1"/>
  <c r="G20" i="10" l="1" a="1"/>
  <c r="G20" i="10" s="1"/>
  <c r="H20" i="10" s="1"/>
  <c r="E21" i="10" s="1"/>
  <c r="F21" i="10" l="1" a="1"/>
  <c r="F21" i="10" s="1"/>
  <c r="G21" i="10" l="1" a="1"/>
  <c r="G21" i="10" s="1"/>
  <c r="H21" i="10" s="1"/>
  <c r="E22" i="10" s="1"/>
  <c r="F22" i="10" l="1" a="1"/>
  <c r="F22" i="10" s="1"/>
  <c r="G22" i="10" l="1" a="1"/>
  <c r="G22" i="10" s="1"/>
  <c r="H22" i="10" s="1"/>
  <c r="E23" i="10" s="1"/>
  <c r="F23" i="10" l="1" a="1"/>
  <c r="F23" i="10" s="1"/>
  <c r="G23" i="10" l="1" a="1"/>
  <c r="G23" i="10" s="1"/>
  <c r="H23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<sst xmlns="http://schemas.openxmlformats.org/spreadsheetml/2006/main" count="628" uniqueCount="54">
  <si>
    <t>x(n)</t>
  </si>
  <si>
    <t>y(n)</t>
  </si>
  <si>
    <t>k1</t>
  </si>
  <si>
    <t>k2</t>
  </si>
  <si>
    <t>n</t>
  </si>
  <si>
    <t>Runge-Kutta Method - Order 2</t>
  </si>
  <si>
    <t>Milne's method</t>
  </si>
  <si>
    <t>Corrector</t>
  </si>
  <si>
    <t>Predictor</t>
  </si>
  <si>
    <t>Initial conditions</t>
  </si>
  <si>
    <t>Calculation</t>
  </si>
  <si>
    <t>x</t>
  </si>
  <si>
    <t>y'</t>
  </si>
  <si>
    <t>y</t>
  </si>
  <si>
    <t>y*</t>
  </si>
  <si>
    <t>Ec(error)</t>
  </si>
  <si>
    <t>Starting X</t>
  </si>
  <si>
    <t>Starting Y</t>
  </si>
  <si>
    <t>y(n+1)</t>
  </si>
  <si>
    <t>k1 = f(x(n), y(n))</t>
  </si>
  <si>
    <t>k2 = f(x(n) + h/2, y(n) + k1 * (h/2))</t>
  </si>
  <si>
    <t>y(n+1) = y(n)+h*k2</t>
  </si>
  <si>
    <t>Interpolator</t>
  </si>
  <si>
    <t>Step (h)</t>
  </si>
  <si>
    <t>RK2 - Clone to apply Richardson Interpolation</t>
  </si>
  <si>
    <t>Richardson Interpolation Calculation</t>
  </si>
  <si>
    <t>Y</t>
  </si>
  <si>
    <t>X</t>
  </si>
  <si>
    <t>N</t>
  </si>
  <si>
    <t>Y'</t>
  </si>
  <si>
    <t>Full H</t>
  </si>
  <si>
    <t>Step H 1</t>
  </si>
  <si>
    <t>Step H 2</t>
  </si>
  <si>
    <t>Stepped Y</t>
  </si>
  <si>
    <t>Full Y</t>
  </si>
  <si>
    <t>Order</t>
  </si>
  <si>
    <t>Full Step Error</t>
  </si>
  <si>
    <t>Half Steps Error</t>
  </si>
  <si>
    <t>Improved Full Step</t>
  </si>
  <si>
    <t>Target Value</t>
  </si>
  <si>
    <t>Find an approximation for a value between iterations</t>
  </si>
  <si>
    <t>solve 1 = 1.00356285582791 + (-0.00103252267499965) * (t - 1.4) + (54.3582866844981) * (t -1.4) * (t - 1.6)</t>
  </si>
  <si>
    <t>2-Stepped Y</t>
  </si>
  <si>
    <t>1-Stepped Y</t>
  </si>
  <si>
    <t>solve 50 = 25.1444030868438 + (13.4999997923602) * (t - 4) + (0.891021762305795) * (t -4) * (t - 5)</t>
  </si>
  <si>
    <t>https://www.wolframalpha.com/input/?i=solve+50+%3D+25.1444030868438+%2B+%2813.4999997923602%29+*+%28t+-+4%29+%2B+%280.891021762305795%29+*+%28t+-4%29+*+%28t+-+5%29</t>
  </si>
  <si>
    <t>solve 0 = 13.5332991881412 + (-28.1705581497257) * (t - 5) + (0.00559824947835731) * (t -5) * (t - 5.3333)</t>
  </si>
  <si>
    <t>solve 2.72848074662829 = 0.439420170773911 + (2.21627650397402) * (t - 1) + (0.456278012219744) * (t -1) * (t - 1.5)</t>
  </si>
  <si>
    <t>solve 10000 = 7437.87194789436 + (1635.61272856805) * (t - 2) + (0.00520496686559272) * (t -2) * (t - 3)</t>
  </si>
  <si>
    <t>solve -10 = 7.47587661231444 + (2.50846913183494) * (t - 4.5) + (0.312972199134619) * (t -4.5) * (t - 5)</t>
  </si>
  <si>
    <t>solve 8 = 6.75169093684951 + (1.5962504858329) * (t - 2) + (2.79058458853351) * (t -2) * (t - 2.5)</t>
  </si>
  <si>
    <t>solve 100 = 70.27947768 + (20.29474965) * (t - 2) + (19.4012540194547) * (t -2) * (t - 3)</t>
  </si>
  <si>
    <t xml:space="preserve"> </t>
  </si>
  <si>
    <t>solve 50 = 54.0069891554906 + (-4.3959561275074) * (t - 4) + (2.76232525329642) * (t -4) * (t - 5)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</si>
</sst>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0"/>
      <name val="Arial"/>
      <family val="2"/>
    </font>
    <font>
      <u/>
      <sz val="10"/>
      <color theme="10"/>
      <name val="Arial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9" applyNumberFormat="0" applyAlignment="0" applyProtection="0"/>
    <xf numFmtId="0" fontId="7" fillId="5" borderId="0" applyNumberFormat="0" applyBorder="0" applyAlignment="0" applyProtection="0"/>
    <xf numFmtId="0" fontId="9" fillId="6" borderId="0" applyNumberFormat="0" applyBorder="0" applyAlignment="0" applyProtection="0"/>
    <xf numFmtId="0" fontId="1" fillId="7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0" xfId="0" applyBorder="1"/>
    <xf numFmtId="0" fontId="0" fillId="0" borderId="10" xfId="0" applyBorder="1"/>
    <xf numFmtId="0" fontId="0" fillId="0" borderId="6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41" xfId="0" applyBorder="1"/>
    <xf numFmtId="0" fontId="0" fillId="0" borderId="41" xfId="0" applyBorder="1" applyAlignment="1"/>
    <xf numFmtId="0" fontId="0" fillId="0" borderId="39" xfId="0" applyBorder="1"/>
    <xf numFmtId="0" fontId="0" fillId="0" borderId="40" xfId="0" applyBorder="1" applyAlignment="1"/>
    <xf numFmtId="0" fontId="0" fillId="0" borderId="40" xfId="0" applyBorder="1"/>
    <xf numFmtId="0" fontId="0" fillId="0" borderId="39" xfId="0" applyBorder="1" applyAlignment="1"/>
    <xf numFmtId="0" fontId="8" fillId="0" borderId="38" xfId="0" applyFont="1" applyFill="1" applyBorder="1" applyAlignment="1">
      <alignment vertical="center"/>
    </xf>
    <xf numFmtId="0" fontId="0" fillId="0" borderId="38" xfId="0" applyBorder="1" applyAlignment="1">
      <alignment horizontal="center"/>
    </xf>
    <xf numFmtId="0" fontId="6" fillId="0" borderId="0" xfId="3" applyFill="1" applyBorder="1"/>
    <xf numFmtId="0" fontId="0" fillId="0" borderId="0" xfId="0" applyFill="1" applyBorder="1"/>
    <xf numFmtId="0" fontId="0" fillId="0" borderId="0" xfId="0" applyFill="1"/>
    <xf numFmtId="0" fontId="9" fillId="6" borderId="39" xfId="5" applyBorder="1" applyAlignment="1">
      <alignment horizontal="center" vertical="center"/>
    </xf>
    <xf numFmtId="0" fontId="7" fillId="0" borderId="0" xfId="4" applyFill="1" applyBorder="1"/>
    <xf numFmtId="0" fontId="0" fillId="0" borderId="0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7" fillId="0" borderId="0" xfId="4" applyFill="1"/>
    <xf numFmtId="0" fontId="8" fillId="0" borderId="0" xfId="0" applyFont="1" applyBorder="1" applyAlignment="1">
      <alignment horizontal="center"/>
    </xf>
    <xf numFmtId="0" fontId="0" fillId="0" borderId="42" xfId="0" applyBorder="1"/>
    <xf numFmtId="0" fontId="0" fillId="0" borderId="30" xfId="0" applyBorder="1"/>
    <xf numFmtId="0" fontId="0" fillId="0" borderId="43" xfId="0" applyBorder="1"/>
    <xf numFmtId="0" fontId="0" fillId="0" borderId="44" xfId="0" applyBorder="1"/>
    <xf numFmtId="0" fontId="11" fillId="0" borderId="23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38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2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37" xfId="0" applyFont="1" applyBorder="1" applyAlignment="1">
      <alignment horizontal="center"/>
    </xf>
    <xf numFmtId="0" fontId="5" fillId="0" borderId="0" xfId="2" applyFill="1" applyBorder="1" applyAlignment="1"/>
    <xf numFmtId="0" fontId="4" fillId="0" borderId="0" xfId="1" applyFill="1" applyBorder="1" applyAlignment="1"/>
    <xf numFmtId="0" fontId="0" fillId="0" borderId="45" xfId="0" applyBorder="1" applyAlignment="1"/>
    <xf numFmtId="0" fontId="0" fillId="0" borderId="46" xfId="0" applyBorder="1" applyAlignment="1"/>
    <xf numFmtId="0" fontId="0" fillId="0" borderId="47" xfId="0" applyBorder="1"/>
    <xf numFmtId="0" fontId="0" fillId="0" borderId="48" xfId="0" applyBorder="1"/>
    <xf numFmtId="0" fontId="0" fillId="0" borderId="4" xfId="0" applyBorder="1" applyAlignment="1">
      <alignment horizontal="center"/>
    </xf>
    <xf numFmtId="0" fontId="0" fillId="0" borderId="12" xfId="0" applyBorder="1"/>
    <xf numFmtId="0" fontId="5" fillId="3" borderId="11" xfId="2" applyBorder="1"/>
    <xf numFmtId="0" fontId="5" fillId="3" borderId="38" xfId="2" applyBorder="1"/>
    <xf numFmtId="0" fontId="5" fillId="3" borderId="12" xfId="2" applyBorder="1"/>
    <xf numFmtId="0" fontId="5" fillId="3" borderId="13" xfId="2" applyBorder="1"/>
    <xf numFmtId="0" fontId="9" fillId="6" borderId="1" xfId="5" applyBorder="1" applyAlignment="1">
      <alignment horizontal="center"/>
    </xf>
    <xf numFmtId="0" fontId="9" fillId="6" borderId="2" xfId="5" applyBorder="1" applyAlignment="1">
      <alignment horizontal="center"/>
    </xf>
    <xf numFmtId="0" fontId="9" fillId="6" borderId="3" xfId="5" applyBorder="1" applyAlignment="1">
      <alignment horizontal="center"/>
    </xf>
    <xf numFmtId="0" fontId="11" fillId="0" borderId="49" xfId="0" applyFont="1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52" xfId="0" applyBorder="1" applyAlignment="1"/>
    <xf numFmtId="0" fontId="0" fillId="0" borderId="53" xfId="0" applyBorder="1"/>
    <xf numFmtId="0" fontId="0" fillId="0" borderId="39" xfId="0" applyFont="1" applyFill="1" applyBorder="1" applyAlignment="1">
      <alignment horizontal="center"/>
    </xf>
    <xf numFmtId="0" fontId="0" fillId="0" borderId="33" xfId="0" applyBorder="1"/>
    <xf numFmtId="0" fontId="0" fillId="0" borderId="45" xfId="0" applyBorder="1"/>
    <xf numFmtId="0" fontId="0" fillId="0" borderId="46" xfId="0" applyBorder="1"/>
    <xf numFmtId="0" fontId="0" fillId="0" borderId="36" xfId="0" applyBorder="1"/>
    <xf numFmtId="0" fontId="0" fillId="0" borderId="54" xfId="0" applyBorder="1"/>
    <xf numFmtId="0" fontId="1" fillId="7" borderId="39" xfId="6" applyBorder="1"/>
    <xf numFmtId="0" fontId="1" fillId="7" borderId="40" xfId="6" applyBorder="1"/>
    <xf numFmtId="0" fontId="12" fillId="0" borderId="0" xfId="7"/>
    <xf numFmtId="0" fontId="8" fillId="0" borderId="0" xfId="0" applyFont="1"/>
    <xf numFmtId="0" fontId="3" fillId="2" borderId="7" xfId="1" applyFont="1" applyBorder="1" applyAlignment="1">
      <alignment horizontal="center"/>
    </xf>
    <xf numFmtId="0" fontId="3" fillId="2" borderId="0" xfId="1" applyFont="1" applyBorder="1" applyAlignment="1">
      <alignment horizontal="center"/>
    </xf>
    <xf numFmtId="0" fontId="3" fillId="2" borderId="8" xfId="1" applyFont="1" applyBorder="1" applyAlignment="1">
      <alignment horizontal="center"/>
    </xf>
    <xf numFmtId="0" fontId="4" fillId="2" borderId="11" xfId="1" applyBorder="1" applyAlignment="1">
      <alignment horizontal="center"/>
    </xf>
    <xf numFmtId="0" fontId="4" fillId="2" borderId="12" xfId="1" applyBorder="1" applyAlignment="1">
      <alignment horizontal="center"/>
    </xf>
    <xf numFmtId="0" fontId="4" fillId="2" borderId="13" xfId="1" applyBorder="1" applyAlignment="1">
      <alignment horizontal="center"/>
    </xf>
    <xf numFmtId="0" fontId="5" fillId="3" borderId="11" xfId="2" applyBorder="1" applyAlignment="1">
      <alignment horizontal="center"/>
    </xf>
    <xf numFmtId="0" fontId="5" fillId="3" borderId="12" xfId="2" applyBorder="1" applyAlignment="1">
      <alignment horizontal="center"/>
    </xf>
    <xf numFmtId="0" fontId="5" fillId="3" borderId="13" xfId="2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3" fillId="2" borderId="2" xfId="1" applyFont="1" applyBorder="1" applyAlignment="1">
      <alignment horizontal="center"/>
    </xf>
    <xf numFmtId="0" fontId="3" fillId="2" borderId="3" xfId="1" applyFont="1" applyBorder="1" applyAlignment="1">
      <alignment horizontal="center"/>
    </xf>
    <xf numFmtId="0" fontId="3" fillId="2" borderId="4" xfId="1" applyFont="1" applyBorder="1" applyAlignment="1">
      <alignment horizontal="center"/>
    </xf>
    <xf numFmtId="0" fontId="3" fillId="2" borderId="5" xfId="1" applyFont="1" applyBorder="1" applyAlignment="1">
      <alignment horizontal="center"/>
    </xf>
    <xf numFmtId="0" fontId="3" fillId="2" borderId="6" xfId="1" applyFont="1" applyBorder="1" applyAlignment="1">
      <alignment horizontal="center"/>
    </xf>
    <xf numFmtId="0" fontId="8" fillId="0" borderId="39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2" borderId="11" xfId="1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2" xfId="0" applyBorder="1" applyAlignment="1">
      <alignment horizontal="center"/>
    </xf>
    <xf numFmtId="0" fontId="9" fillId="6" borderId="11" xfId="5" applyBorder="1" applyAlignment="1">
      <alignment horizontal="center"/>
    </xf>
    <xf numFmtId="0" fontId="9" fillId="6" borderId="13" xfId="5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10" fillId="3" borderId="11" xfId="2" applyFont="1" applyBorder="1" applyAlignment="1">
      <alignment horizontal="center"/>
    </xf>
    <xf numFmtId="0" fontId="10" fillId="3" borderId="12" xfId="2" applyFont="1" applyBorder="1" applyAlignment="1">
      <alignment horizontal="center"/>
    </xf>
    <xf numFmtId="0" fontId="10" fillId="3" borderId="13" xfId="2" applyFont="1" applyBorder="1" applyAlignment="1">
      <alignment horizontal="center"/>
    </xf>
  </cellXfs>
  <cellStyles count="8">
    <cellStyle name="20% - Énfasis1" xfId="6" builtinId="30"/>
    <cellStyle name="60% - Énfasis4" xfId="1" builtinId="44"/>
    <cellStyle name="Bueno" xfId="4" builtinId="26"/>
    <cellStyle name="Celda de comprobación" xfId="3" builtinId="23"/>
    <cellStyle name="Énfasis1" xfId="5" builtinId="29"/>
    <cellStyle name="Hipervínculo" xfId="7" builtinId="8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wolframalpha.com/input/?i=solve+50+%3D+25.1444030868438+%2B+%2813.4999997923602%29+*+%28t+-+4%29+%2B+%280.891021762305795%29+*+%28t+-4%29+*+%28t+-+5%2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14A88-CC3E-4189-891D-37B628073501}">
  <dimension ref="A1:S63"/>
  <sheetViews>
    <sheetView zoomScaleNormal="100" workbookViewId="0">
      <pane xSplit="1" topLeftCell="B1" activePane="topRight" state="frozen"/>
      <selection pane="topRight" activeCell="J45" sqref="J45"/>
    </sheetView>
  </sheetViews>
  <sheetFormatPr baseColWidth="10" defaultColWidth="9.140625" defaultRowHeight="12.75" x14ac:dyDescent="0.2"/>
  <cols>
    <col min="2" max="8" width="14.28515625" customWidth="1"/>
    <col min="13" max="13" width="12.5703125" bestFit="1" customWidth="1"/>
    <col min="14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1</v>
      </c>
      <c r="L5" s="19">
        <v>2</v>
      </c>
      <c r="M5" s="55">
        <v>3.268431745348487</v>
      </c>
      <c r="N5" s="57" t="e" cm="1">
        <f t="array" aca="1" ref="N5" ca="1">FXY(L5,M5)</f>
        <v>#NAME?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1.25</v>
      </c>
      <c r="G6" s="100"/>
      <c r="H6" s="101"/>
      <c r="I6" s="34"/>
      <c r="J6" s="39"/>
      <c r="K6" s="9">
        <v>2</v>
      </c>
      <c r="L6" s="5">
        <v>3</v>
      </c>
      <c r="M6" s="56">
        <v>4.9889509133999264</v>
      </c>
      <c r="N6" s="58" t="e" cm="1">
        <f t="array" aca="1" ref="N6" ca="1">FXY(L6,M6)</f>
        <v>#NAME?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3</v>
      </c>
      <c r="L7" s="5">
        <v>4</v>
      </c>
      <c r="M7" s="56">
        <v>6.6266700172452717</v>
      </c>
      <c r="N7" s="58" t="e" cm="1">
        <f t="array" aca="1" ref="N7" ca="1">FXY(L7,M7)</f>
        <v>#NAME?</v>
      </c>
      <c r="P7" s="37"/>
    </row>
    <row r="8" spans="1:19" ht="15.75" thickBot="1" x14ac:dyDescent="0.3">
      <c r="A8" s="33"/>
      <c r="B8" s="31">
        <v>0.2</v>
      </c>
      <c r="C8" s="25">
        <v>0</v>
      </c>
      <c r="D8" s="25">
        <f>$D$6</f>
        <v>0</v>
      </c>
      <c r="E8" s="25">
        <f>$F$6</f>
        <v>1.25</v>
      </c>
      <c r="F8" s="25" t="e" cm="1">
        <f t="array" aca="1" ref="F8" ca="1">B8*FXY(D8,E8)</f>
        <v>#NAME?</v>
      </c>
      <c r="G8" s="25" t="e" cm="1">
        <f t="array" aca="1" ref="G8" ca="1">B8*FXY(D8+B8,E8+F8)</f>
        <v>#NAME?</v>
      </c>
      <c r="H8" s="26" t="e">
        <f ca="1">E8+(1/2)*(F8+G8)</f>
        <v>#NAME?</v>
      </c>
      <c r="I8" s="33"/>
      <c r="J8" s="38"/>
      <c r="K8" s="69">
        <v>4</v>
      </c>
      <c r="L8" s="70">
        <v>5</v>
      </c>
      <c r="M8" s="71">
        <v>7.8750656279597431</v>
      </c>
      <c r="N8" s="72" t="e" cm="1">
        <f t="array" aca="1" ref="N8" ca="1">FXY(L8,M8)</f>
        <v>#NAME?</v>
      </c>
      <c r="P8" s="37"/>
      <c r="S8" s="21"/>
    </row>
    <row r="9" spans="1:19" ht="15.75" thickBot="1" x14ac:dyDescent="0.3">
      <c r="A9" s="34"/>
      <c r="B9" s="27">
        <v>0.2</v>
      </c>
      <c r="C9" s="27">
        <f>C8+1</f>
        <v>1</v>
      </c>
      <c r="D9" s="27">
        <f>D8+B8</f>
        <v>0.2</v>
      </c>
      <c r="E9" s="27" t="e">
        <f ca="1">H8</f>
        <v>#NAME?</v>
      </c>
      <c r="F9" s="27" t="e" cm="1">
        <f t="array" aca="1" ref="F9" ca="1">B9*FXY(D9,E9)</f>
        <v>#NAME?</v>
      </c>
      <c r="G9" s="27" t="e" cm="1">
        <f t="array" aca="1" ref="G9" ca="1">B9*FXY(D9+B9,E9+F9)</f>
        <v>#NAME?</v>
      </c>
      <c r="H9" s="28" t="e">
        <f t="shared" ref="H9:H23" ca="1" si="0">E9+(1/2)*(F9+G9)</f>
        <v>#NAME?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0.2</v>
      </c>
      <c r="C10" s="29">
        <f>C9+1</f>
        <v>2</v>
      </c>
      <c r="D10" s="29">
        <f t="shared" ref="D10:D23" si="1">D9+B9</f>
        <v>0.4</v>
      </c>
      <c r="E10" s="29" t="e">
        <f ca="1">H9</f>
        <v>#NAME?</v>
      </c>
      <c r="F10" s="29" t="e" cm="1">
        <f t="array" aca="1" ref="F10" ca="1">B10*FXY(D10,E10)</f>
        <v>#NAME?</v>
      </c>
      <c r="G10" s="29" t="e" cm="1">
        <f t="array" aca="1" ref="G10" ca="1">B10*FXY(D10+B10,E10+F10)</f>
        <v>#NAME?</v>
      </c>
      <c r="H10" s="28" t="e">
        <f t="shared" ca="1" si="0"/>
        <v>#NAME?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0.2</v>
      </c>
      <c r="C11" s="29">
        <f t="shared" ref="C11:C23" si="2">C10+1</f>
        <v>3</v>
      </c>
      <c r="D11" s="29">
        <f t="shared" si="1"/>
        <v>0.60000000000000009</v>
      </c>
      <c r="E11" s="29" t="e">
        <f t="shared" ref="E11:E23" ca="1" si="3">H10</f>
        <v>#NAME?</v>
      </c>
      <c r="F11" s="29" t="e" cm="1">
        <f t="array" aca="1" ref="F11" ca="1">B11*FXY(D11,E11)</f>
        <v>#NAME?</v>
      </c>
      <c r="G11" s="29" t="e" cm="1">
        <f t="array" aca="1" ref="G11" ca="1">B11*FXY(D11+B11,E11+F11)</f>
        <v>#NAME?</v>
      </c>
      <c r="H11" s="28" t="e">
        <f t="shared" ca="1" si="0"/>
        <v>#NAME?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20" t="s">
        <v>15</v>
      </c>
    </row>
    <row r="12" spans="1:19" x14ac:dyDescent="0.2">
      <c r="A12" s="35"/>
      <c r="B12" s="29">
        <v>0.2</v>
      </c>
      <c r="C12" s="29">
        <f t="shared" si="2"/>
        <v>4</v>
      </c>
      <c r="D12" s="29">
        <f t="shared" si="1"/>
        <v>0.8</v>
      </c>
      <c r="E12" s="29" t="e">
        <f t="shared" ca="1" si="3"/>
        <v>#NAME?</v>
      </c>
      <c r="F12" s="29" t="e" cm="1">
        <f t="array" aca="1" ref="F12" ca="1">B12*FXY(D12,E12)</f>
        <v>#NAME?</v>
      </c>
      <c r="G12" s="29" t="e" cm="1">
        <f t="array" aca="1" ref="G12" ca="1">B12*FXY(D12+B12,E12+F12)</f>
        <v>#NAME?</v>
      </c>
      <c r="H12" s="28" t="e">
        <f t="shared" ca="1" si="0"/>
        <v>#NAME?</v>
      </c>
      <c r="I12" s="35"/>
      <c r="J12" s="29">
        <v>1</v>
      </c>
      <c r="K12" s="6">
        <v>5</v>
      </c>
      <c r="L12" s="12">
        <f>L8+J12</f>
        <v>6</v>
      </c>
      <c r="M12" s="7" t="e">
        <f ca="1">M5+ ((4/3) * J12) * (2*N6 - N7 + 2*N8)</f>
        <v>#NAME?</v>
      </c>
      <c r="N12" s="8" t="e" cm="1">
        <f t="array" aca="1" ref="N12" ca="1">FXY(L12,M12)</f>
        <v>#NAME?</v>
      </c>
      <c r="O12" s="8" t="e">
        <f ca="1">M7 + (J12/3) * (N7 + 4*N8 + N12)</f>
        <v>#NAME?</v>
      </c>
      <c r="P12" t="e">
        <f t="shared" ref="P12:P28" ca="1" si="4">(-1/29) * (O12 - M12)</f>
        <v>#NAME?</v>
      </c>
    </row>
    <row r="13" spans="1:19" x14ac:dyDescent="0.2">
      <c r="A13" s="35"/>
      <c r="B13" s="29">
        <v>0.2</v>
      </c>
      <c r="C13" s="29">
        <f t="shared" si="2"/>
        <v>5</v>
      </c>
      <c r="D13" s="29">
        <f t="shared" si="1"/>
        <v>1</v>
      </c>
      <c r="E13" s="29" t="e">
        <f t="shared" ca="1" si="3"/>
        <v>#NAME?</v>
      </c>
      <c r="F13" s="29" t="e" cm="1">
        <f t="array" aca="1" ref="F13" ca="1">B13*FXY(D13,E13)</f>
        <v>#NAME?</v>
      </c>
      <c r="G13" s="29" t="e" cm="1">
        <f t="array" aca="1" ref="G13" ca="1">B13*FXY(D13+B13,E13+F13)</f>
        <v>#NAME?</v>
      </c>
      <c r="H13" s="28" t="e">
        <f t="shared" ca="1" si="0"/>
        <v>#NAME?</v>
      </c>
      <c r="I13" s="35"/>
      <c r="J13" s="29">
        <v>1</v>
      </c>
      <c r="K13" s="9">
        <f>1+K12</f>
        <v>6</v>
      </c>
      <c r="L13" s="13">
        <f>L12+J12</f>
        <v>7</v>
      </c>
      <c r="M13" s="5" t="e">
        <f ca="1">M6+ ((4/3) * J13) * (2*N7 - N8 + 2*O12)</f>
        <v>#NAME?</v>
      </c>
      <c r="N13" s="18" t="e" cm="1">
        <f t="array" aca="1" ref="N13" ca="1">FXY(L13,M13)</f>
        <v>#NAME?</v>
      </c>
      <c r="O13" s="42" t="e">
        <f ca="1">M8 + (J13/3) * (N8 + 4*O9 + N13)</f>
        <v>#NAME?</v>
      </c>
      <c r="P13" t="e">
        <f t="shared" ca="1" si="4"/>
        <v>#NAME?</v>
      </c>
    </row>
    <row r="14" spans="1:19" x14ac:dyDescent="0.2">
      <c r="A14" s="35"/>
      <c r="B14" s="29">
        <v>0.2</v>
      </c>
      <c r="C14" s="29">
        <f t="shared" si="2"/>
        <v>6</v>
      </c>
      <c r="D14" s="29">
        <f t="shared" si="1"/>
        <v>1.2</v>
      </c>
      <c r="E14" s="29" t="e">
        <f t="shared" ca="1" si="3"/>
        <v>#NAME?</v>
      </c>
      <c r="F14" s="29" t="e" cm="1">
        <f t="array" aca="1" ref="F14" ca="1">B14*FXY(D14,E14)</f>
        <v>#NAME?</v>
      </c>
      <c r="G14" s="29" t="e" cm="1">
        <f t="array" aca="1" ref="G14" ca="1">B14*FXY(D14+B14,E14+F14)</f>
        <v>#NAME?</v>
      </c>
      <c r="H14" s="28" t="e">
        <f t="shared" ca="1" si="0"/>
        <v>#NAME?</v>
      </c>
      <c r="I14" s="35"/>
      <c r="J14" s="29">
        <v>1</v>
      </c>
      <c r="K14" s="9">
        <f t="shared" ref="K14:K27" si="5">1+K13</f>
        <v>7</v>
      </c>
      <c r="L14" s="5">
        <f t="shared" ref="L14:L28" si="6">L13+J13</f>
        <v>8</v>
      </c>
      <c r="M14" s="5"/>
      <c r="N14" s="18"/>
      <c r="O14" s="42"/>
      <c r="P14">
        <f t="shared" si="4"/>
        <v>0</v>
      </c>
    </row>
    <row r="15" spans="1:19" ht="13.5" thickBot="1" x14ac:dyDescent="0.25">
      <c r="B15" s="29">
        <v>0.2</v>
      </c>
      <c r="C15" s="29">
        <f t="shared" si="2"/>
        <v>7</v>
      </c>
      <c r="D15" s="29">
        <f t="shared" si="1"/>
        <v>1.4</v>
      </c>
      <c r="E15" s="29" t="e">
        <f t="shared" ca="1" si="3"/>
        <v>#NAME?</v>
      </c>
      <c r="F15" s="29" t="e" cm="1">
        <f t="array" aca="1" ref="F15" ca="1">B15*FXY(D15,E15)</f>
        <v>#NAME?</v>
      </c>
      <c r="G15" s="29" t="e" cm="1">
        <f t="array" aca="1" ref="G15" ca="1">B15*FXY(D15+B15,E15+F15)</f>
        <v>#NAME?</v>
      </c>
      <c r="H15" s="28" t="e">
        <f t="shared" ca="1" si="0"/>
        <v>#NAME?</v>
      </c>
      <c r="J15" s="29">
        <v>1</v>
      </c>
      <c r="K15" s="10">
        <f t="shared" si="5"/>
        <v>8</v>
      </c>
      <c r="L15" s="11">
        <f t="shared" si="6"/>
        <v>9</v>
      </c>
      <c r="M15" s="11"/>
      <c r="N15" s="3"/>
      <c r="O15" s="43"/>
      <c r="P15">
        <f t="shared" si="4"/>
        <v>0</v>
      </c>
    </row>
    <row r="16" spans="1:19" x14ac:dyDescent="0.2">
      <c r="B16" s="29">
        <v>0.2</v>
      </c>
      <c r="C16" s="29">
        <f t="shared" si="2"/>
        <v>8</v>
      </c>
      <c r="D16" s="29">
        <f t="shared" si="1"/>
        <v>1.5999999999999999</v>
      </c>
      <c r="E16" s="29" t="e">
        <f t="shared" ca="1" si="3"/>
        <v>#NAME?</v>
      </c>
      <c r="F16" s="29" t="e" cm="1">
        <f t="array" aca="1" ref="F16" ca="1">B16*FXY(D16,E16)</f>
        <v>#NAME?</v>
      </c>
      <c r="G16" s="29" t="e" cm="1">
        <f t="array" aca="1" ref="G16" ca="1">B16*FXY(D16+B16,E16+F16)</f>
        <v>#NAME?</v>
      </c>
      <c r="H16" s="28" t="e">
        <f t="shared" ca="1" si="0"/>
        <v>#NAME?</v>
      </c>
      <c r="J16" s="29">
        <v>1</v>
      </c>
      <c r="K16" s="6">
        <f t="shared" si="5"/>
        <v>9</v>
      </c>
      <c r="L16" s="7">
        <f t="shared" si="6"/>
        <v>10</v>
      </c>
      <c r="M16" s="7"/>
      <c r="N16" s="17"/>
      <c r="O16" s="8"/>
      <c r="P16">
        <f t="shared" si="4"/>
        <v>0</v>
      </c>
    </row>
    <row r="17" spans="2:16" x14ac:dyDescent="0.2">
      <c r="B17" s="29">
        <v>0.2</v>
      </c>
      <c r="C17" s="29">
        <f t="shared" si="2"/>
        <v>9</v>
      </c>
      <c r="D17" s="29">
        <f t="shared" si="1"/>
        <v>1.7999999999999998</v>
      </c>
      <c r="E17" s="29" t="e">
        <f t="shared" ca="1" si="3"/>
        <v>#NAME?</v>
      </c>
      <c r="F17" s="29" t="e" cm="1">
        <f t="array" aca="1" ref="F17" ca="1">B17*FXY(D17,E17)</f>
        <v>#NAME?</v>
      </c>
      <c r="G17" s="29" t="e" cm="1">
        <f t="array" aca="1" ref="G17" ca="1">B17*FXY(D17+B17,E17+F17)</f>
        <v>#NAME?</v>
      </c>
      <c r="H17" s="28" t="e">
        <f t="shared" ca="1" si="0"/>
        <v>#NAME?</v>
      </c>
      <c r="J17" s="29">
        <v>1</v>
      </c>
      <c r="K17" s="9">
        <f t="shared" si="5"/>
        <v>10</v>
      </c>
      <c r="L17" s="5">
        <f t="shared" si="6"/>
        <v>11</v>
      </c>
      <c r="M17" s="19"/>
      <c r="N17" s="18"/>
      <c r="O17" s="45"/>
      <c r="P17">
        <f t="shared" si="4"/>
        <v>0</v>
      </c>
    </row>
    <row r="18" spans="2:16" ht="13.5" thickBot="1" x14ac:dyDescent="0.25">
      <c r="B18" s="29">
        <v>0.2</v>
      </c>
      <c r="C18" s="29">
        <f t="shared" si="2"/>
        <v>10</v>
      </c>
      <c r="D18" s="29">
        <f t="shared" si="1"/>
        <v>1.9999999999999998</v>
      </c>
      <c r="E18" s="29" t="e">
        <f t="shared" ca="1" si="3"/>
        <v>#NAME?</v>
      </c>
      <c r="F18" s="29" t="e" cm="1">
        <f t="array" aca="1" ref="F18" ca="1">B18*FXY(D18,E18)</f>
        <v>#NAME?</v>
      </c>
      <c r="G18" s="29" t="e" cm="1">
        <f t="array" aca="1" ref="G18" ca="1">B18*FXY(D18+B18,E18+F18)</f>
        <v>#NAME?</v>
      </c>
      <c r="H18" s="28" t="e">
        <f t="shared" ca="1" si="0"/>
        <v>#NAME?</v>
      </c>
      <c r="J18" s="29">
        <v>1</v>
      </c>
      <c r="K18" s="9">
        <f t="shared" si="5"/>
        <v>11</v>
      </c>
      <c r="L18" s="5">
        <f t="shared" si="6"/>
        <v>12</v>
      </c>
      <c r="M18" s="5"/>
      <c r="N18" s="18"/>
      <c r="O18" s="42"/>
      <c r="P18">
        <f t="shared" si="4"/>
        <v>0</v>
      </c>
    </row>
    <row r="19" spans="2:16" x14ac:dyDescent="0.2">
      <c r="B19" s="27">
        <v>0.2</v>
      </c>
      <c r="C19" s="27">
        <f t="shared" si="2"/>
        <v>11</v>
      </c>
      <c r="D19" s="27">
        <f t="shared" si="1"/>
        <v>2.1999999999999997</v>
      </c>
      <c r="E19" s="27" t="e">
        <f t="shared" ca="1" si="3"/>
        <v>#NAME?</v>
      </c>
      <c r="F19" s="27" t="e" cm="1">
        <f t="array" aca="1" ref="F19" ca="1">B19*FXY(D19,E19)</f>
        <v>#NAME?</v>
      </c>
      <c r="G19" s="27" t="e" cm="1">
        <f t="array" aca="1" ref="G19" ca="1">B19*FXY(D19+B19,E19+F19)</f>
        <v>#NAME?</v>
      </c>
      <c r="H19" s="30" t="e">
        <f t="shared" ca="1" si="0"/>
        <v>#NAME?</v>
      </c>
      <c r="J19" s="29">
        <v>1</v>
      </c>
      <c r="K19" s="9">
        <f t="shared" si="5"/>
        <v>12</v>
      </c>
      <c r="L19" s="5">
        <f t="shared" si="6"/>
        <v>13</v>
      </c>
      <c r="M19" s="5"/>
      <c r="N19" s="18"/>
      <c r="O19" s="42"/>
      <c r="P19">
        <f t="shared" si="4"/>
        <v>0</v>
      </c>
    </row>
    <row r="20" spans="2:16" x14ac:dyDescent="0.2">
      <c r="B20" s="29">
        <v>0.2</v>
      </c>
      <c r="C20" s="29">
        <f t="shared" si="2"/>
        <v>12</v>
      </c>
      <c r="D20" s="29">
        <f t="shared" si="1"/>
        <v>2.4</v>
      </c>
      <c r="E20" s="29" t="e">
        <f t="shared" ca="1" si="3"/>
        <v>#NAME?</v>
      </c>
      <c r="F20" s="29" t="e" cm="1">
        <f t="array" aca="1" ref="F20" ca="1">B20*FXY(D20,E20)</f>
        <v>#NAME?</v>
      </c>
      <c r="G20" s="29" t="e" cm="1">
        <f t="array" aca="1" ref="G20" ca="1">B20*FXY(D20+B20,E20+F20)</f>
        <v>#NAME?</v>
      </c>
      <c r="H20" s="28" t="e">
        <f t="shared" ca="1" si="0"/>
        <v>#NAME?</v>
      </c>
      <c r="J20" s="29">
        <v>1</v>
      </c>
      <c r="K20" s="9">
        <f t="shared" si="5"/>
        <v>13</v>
      </c>
      <c r="L20" s="5">
        <f t="shared" si="6"/>
        <v>14</v>
      </c>
      <c r="M20" s="5"/>
      <c r="N20" s="18"/>
      <c r="O20" s="42"/>
      <c r="P20">
        <f t="shared" si="4"/>
        <v>0</v>
      </c>
    </row>
    <row r="21" spans="2:16" x14ac:dyDescent="0.2">
      <c r="B21" s="29">
        <v>0.2</v>
      </c>
      <c r="C21" s="29">
        <f t="shared" si="2"/>
        <v>13</v>
      </c>
      <c r="D21" s="29">
        <f t="shared" si="1"/>
        <v>2.6</v>
      </c>
      <c r="E21" s="29" t="e">
        <f t="shared" ca="1" si="3"/>
        <v>#NAME?</v>
      </c>
      <c r="F21" s="29" t="e" cm="1">
        <f t="array" aca="1" ref="F21" ca="1">B21*FXY(D21,E21)</f>
        <v>#NAME?</v>
      </c>
      <c r="G21" s="29" t="e" cm="1">
        <f t="array" aca="1" ref="G21" ca="1">B21*FXY(D21+B21,E21+F21)</f>
        <v>#NAME?</v>
      </c>
      <c r="H21" s="28" t="e">
        <f t="shared" ca="1" si="0"/>
        <v>#NAME?</v>
      </c>
      <c r="J21" s="29">
        <v>1</v>
      </c>
      <c r="K21" s="9">
        <f t="shared" si="5"/>
        <v>14</v>
      </c>
      <c r="L21" s="5">
        <f t="shared" si="6"/>
        <v>15</v>
      </c>
      <c r="M21" s="5"/>
      <c r="N21" s="18"/>
      <c r="O21" s="42"/>
      <c r="P21">
        <f t="shared" si="4"/>
        <v>0</v>
      </c>
    </row>
    <row r="22" spans="2:16" x14ac:dyDescent="0.2">
      <c r="B22" s="29">
        <v>0.2</v>
      </c>
      <c r="C22" s="29">
        <f t="shared" si="2"/>
        <v>14</v>
      </c>
      <c r="D22" s="29">
        <f t="shared" si="1"/>
        <v>2.8000000000000003</v>
      </c>
      <c r="E22" s="29" t="e">
        <f t="shared" ca="1" si="3"/>
        <v>#NAME?</v>
      </c>
      <c r="F22" s="29" t="e" cm="1">
        <f t="array" aca="1" ref="F22" ca="1">B22*FXY(D22,E22)</f>
        <v>#NAME?</v>
      </c>
      <c r="G22" s="29" t="e" cm="1">
        <f t="array" aca="1" ref="G22" ca="1">B22*FXY(D22+B22,E22+F22)</f>
        <v>#NAME?</v>
      </c>
      <c r="H22" s="28" t="e">
        <f t="shared" ca="1" si="0"/>
        <v>#NAME?</v>
      </c>
      <c r="J22" s="29">
        <v>1</v>
      </c>
      <c r="K22" s="9">
        <f t="shared" si="5"/>
        <v>15</v>
      </c>
      <c r="L22" s="5">
        <f t="shared" si="6"/>
        <v>16</v>
      </c>
      <c r="M22" s="5"/>
      <c r="N22" s="18"/>
      <c r="O22" s="42"/>
      <c r="P22">
        <f t="shared" si="4"/>
        <v>0</v>
      </c>
    </row>
    <row r="23" spans="2:16" ht="13.5" thickBot="1" x14ac:dyDescent="0.25">
      <c r="B23" s="25">
        <v>0.2</v>
      </c>
      <c r="C23" s="25">
        <f t="shared" si="2"/>
        <v>15</v>
      </c>
      <c r="D23" s="25">
        <f t="shared" si="1"/>
        <v>3.0000000000000004</v>
      </c>
      <c r="E23" s="25" t="e">
        <f t="shared" ca="1" si="3"/>
        <v>#NAME?</v>
      </c>
      <c r="F23" s="25" t="e" cm="1">
        <f t="array" aca="1" ref="F23" ca="1">B23*FXY(D23,E23)</f>
        <v>#NAME?</v>
      </c>
      <c r="G23" s="25" t="e" cm="1">
        <f t="array" aca="1" ref="G23" ca="1">B23*FXY(D23+B23,E23+F23)</f>
        <v>#NAME?</v>
      </c>
      <c r="H23" s="26" t="e">
        <f t="shared" ca="1" si="0"/>
        <v>#NAME?</v>
      </c>
      <c r="J23" s="29">
        <v>1</v>
      </c>
      <c r="K23" s="9">
        <f t="shared" si="5"/>
        <v>16</v>
      </c>
      <c r="L23" s="5">
        <f t="shared" si="6"/>
        <v>17</v>
      </c>
      <c r="M23" s="5"/>
      <c r="N23" s="18"/>
      <c r="O23" s="42"/>
      <c r="P23">
        <f t="shared" si="4"/>
        <v>0</v>
      </c>
    </row>
    <row r="24" spans="2:16" x14ac:dyDescent="0.2">
      <c r="J24" s="29">
        <v>1</v>
      </c>
      <c r="K24" s="9">
        <f t="shared" si="5"/>
        <v>17</v>
      </c>
      <c r="L24" s="5">
        <f t="shared" si="6"/>
        <v>18</v>
      </c>
      <c r="M24" s="5"/>
      <c r="N24" s="18"/>
      <c r="O24" s="42"/>
      <c r="P24">
        <f t="shared" si="4"/>
        <v>0</v>
      </c>
    </row>
    <row r="25" spans="2:16" x14ac:dyDescent="0.2">
      <c r="J25" s="29">
        <v>1</v>
      </c>
      <c r="K25" s="9">
        <f t="shared" si="5"/>
        <v>18</v>
      </c>
      <c r="L25" s="5">
        <f t="shared" si="6"/>
        <v>19</v>
      </c>
      <c r="M25" s="5"/>
      <c r="N25" s="18"/>
      <c r="O25" s="42"/>
      <c r="P25">
        <f t="shared" si="4"/>
        <v>0</v>
      </c>
    </row>
    <row r="26" spans="2:16" ht="13.5" thickBot="1" x14ac:dyDescent="0.25">
      <c r="J26" s="29">
        <v>1</v>
      </c>
      <c r="K26" s="9">
        <f t="shared" si="5"/>
        <v>19</v>
      </c>
      <c r="L26" s="5">
        <f t="shared" si="6"/>
        <v>20</v>
      </c>
      <c r="M26" s="5"/>
      <c r="N26" s="18"/>
      <c r="O26" s="42"/>
      <c r="P26">
        <f t="shared" si="4"/>
        <v>0</v>
      </c>
    </row>
    <row r="27" spans="2:16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>
        <f t="shared" si="5"/>
        <v>20</v>
      </c>
      <c r="L27" s="5">
        <f t="shared" si="6"/>
        <v>21</v>
      </c>
      <c r="M27" s="5"/>
      <c r="N27" s="18"/>
      <c r="O27" s="42"/>
      <c r="P27">
        <f t="shared" si="4"/>
        <v>0</v>
      </c>
    </row>
    <row r="28" spans="2:16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>
        <f>1+K27</f>
        <v>21</v>
      </c>
      <c r="L28" s="11">
        <f t="shared" si="6"/>
        <v>22</v>
      </c>
      <c r="M28" s="11"/>
      <c r="N28" s="3"/>
      <c r="O28" s="43"/>
      <c r="P28">
        <f t="shared" si="4"/>
        <v>0</v>
      </c>
    </row>
    <row r="29" spans="2:16" ht="15" x14ac:dyDescent="0.25">
      <c r="C29" s="83" t="s">
        <v>20</v>
      </c>
      <c r="D29" s="84"/>
      <c r="E29" s="84"/>
      <c r="F29" s="84"/>
      <c r="G29" s="84"/>
      <c r="H29" s="85"/>
    </row>
    <row r="30" spans="2:16" ht="15.75" thickBot="1" x14ac:dyDescent="0.3">
      <c r="C30" s="95" t="s">
        <v>21</v>
      </c>
      <c r="D30" s="96"/>
      <c r="E30" s="96"/>
      <c r="F30" s="96"/>
      <c r="G30" s="96"/>
      <c r="H30" s="97"/>
    </row>
    <row r="31" spans="2:16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6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</row>
    <row r="33" spans="2:18" ht="13.5" thickBot="1" x14ac:dyDescent="0.25">
      <c r="B33" s="31">
        <v>0.2</v>
      </c>
      <c r="C33" s="25">
        <v>0</v>
      </c>
      <c r="D33" s="25">
        <f>$D$6</f>
        <v>0</v>
      </c>
      <c r="E33" s="25">
        <f>$F$6</f>
        <v>1.25</v>
      </c>
      <c r="F33" s="25" t="e" cm="1">
        <f t="array" aca="1" ref="F33" ca="1">B33*FXY(D33,E33)</f>
        <v>#NAME?</v>
      </c>
      <c r="G33" s="25" t="e" cm="1">
        <f t="array" aca="1" ref="G33" ca="1">B33*FXY(D33+B33,E33+F33)</f>
        <v>#NAME?</v>
      </c>
      <c r="H33" s="26" t="e">
        <f ca="1">E33+(1/2)*(F33+G33)</f>
        <v>#NAME?</v>
      </c>
      <c r="J33" s="103">
        <v>1.4</v>
      </c>
      <c r="K33" s="104"/>
      <c r="L33" s="105">
        <v>1.5999999999999999</v>
      </c>
      <c r="M33" s="104"/>
      <c r="N33" s="105">
        <v>1.7999999999999998</v>
      </c>
      <c r="O33" s="106"/>
    </row>
    <row r="34" spans="2:18" ht="13.5" thickBot="1" x14ac:dyDescent="0.25">
      <c r="B34" s="27">
        <v>0.1</v>
      </c>
      <c r="C34" s="27">
        <f>C33+1</f>
        <v>1</v>
      </c>
      <c r="D34" s="27">
        <f>D33+B33</f>
        <v>0.2</v>
      </c>
      <c r="E34" s="27" t="e">
        <f ca="1">H33</f>
        <v>#NAME?</v>
      </c>
      <c r="F34" s="27" t="e" cm="1">
        <f t="array" aca="1" ref="F34" ca="1">B34*FXY(D34,E34)</f>
        <v>#NAME?</v>
      </c>
      <c r="G34" s="27" t="e" cm="1">
        <f t="array" aca="1" ref="G34" ca="1">B34*FXY(D34+B34,E34+F34)</f>
        <v>#NAME?</v>
      </c>
      <c r="H34" s="28" t="e">
        <f t="shared" ref="H34:H36" ca="1" si="7">E34+(1/2)*(F34+G34)</f>
        <v>#NAME?</v>
      </c>
      <c r="J34" s="107">
        <v>1.0035628558279099</v>
      </c>
      <c r="K34" s="108"/>
      <c r="L34" s="109">
        <v>1.00335635129291</v>
      </c>
      <c r="M34" s="108"/>
      <c r="N34" s="109">
        <v>1.0046215634892399</v>
      </c>
      <c r="O34" s="110"/>
    </row>
    <row r="35" spans="2:18" ht="15.75" thickBot="1" x14ac:dyDescent="0.3">
      <c r="B35" s="29">
        <v>0.1</v>
      </c>
      <c r="C35" s="29">
        <f>C34+1</f>
        <v>2</v>
      </c>
      <c r="D35" s="29">
        <f t="shared" ref="D35:D36" si="8">D34+B34</f>
        <v>0.30000000000000004</v>
      </c>
      <c r="E35" s="29" t="e">
        <f ca="1">H34</f>
        <v>#NAME?</v>
      </c>
      <c r="F35" s="29" t="e" cm="1">
        <f t="array" aca="1" ref="F35" ca="1">B35*FXY(D35,E35)</f>
        <v>#NAME?</v>
      </c>
      <c r="G35" s="29" t="e" cm="1">
        <f t="array" aca="1" ref="G35" ca="1">B35*FXY(D35+B35,E35+F35)</f>
        <v>#NAME?</v>
      </c>
      <c r="H35" s="28" t="e">
        <f t="shared" ca="1" si="7"/>
        <v>#NAME?</v>
      </c>
      <c r="K35" s="111">
        <f>(L34-J34)/(L33-J33)</f>
        <v>-1.0325226749996477E-3</v>
      </c>
      <c r="L35" s="112"/>
      <c r="M35" s="111">
        <f>(N34-L34)/(N33-L33)</f>
        <v>6.3260609816495634E-3</v>
      </c>
      <c r="N35" s="112"/>
      <c r="O35" s="1"/>
    </row>
    <row r="36" spans="2:18" ht="15.75" thickBot="1" x14ac:dyDescent="0.3">
      <c r="B36" s="29">
        <v>0.1</v>
      </c>
      <c r="C36" s="29">
        <f>C35+1</f>
        <v>3</v>
      </c>
      <c r="D36" s="29">
        <f t="shared" si="8"/>
        <v>0.4</v>
      </c>
      <c r="E36" s="29" t="e">
        <f ca="1">H35</f>
        <v>#NAME?</v>
      </c>
      <c r="F36" s="29" t="e" cm="1">
        <f t="array" aca="1" ref="F36" ca="1">B36*FXY(D36,E36)</f>
        <v>#NAME?</v>
      </c>
      <c r="G36" s="29" t="e" cm="1">
        <f t="array" aca="1" ref="G36" ca="1">B36*FXY(D36+B36,E36+F36)</f>
        <v>#NAME?</v>
      </c>
      <c r="H36" s="28" t="e">
        <f t="shared" ca="1" si="7"/>
        <v>#NAME?</v>
      </c>
      <c r="L36" s="111">
        <f>(N33-J33)/(M35-K35)</f>
        <v>54.358286684498069</v>
      </c>
      <c r="M36" s="112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1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1 = 1.00356285582791 + (-0.00103252267499965) * (t - 1.4) + (54.3582866844981) * (t -1.4) * (t - 1.6)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41</v>
      </c>
    </row>
    <row r="46" spans="2:18" x14ac:dyDescent="0.2">
      <c r="B46" s="29"/>
      <c r="C46" s="29"/>
      <c r="D46" s="29"/>
      <c r="E46" s="29"/>
      <c r="F46" s="29"/>
      <c r="G46" s="29"/>
      <c r="H46" s="28"/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33</v>
      </c>
      <c r="G52" s="66" t="s">
        <v>34</v>
      </c>
      <c r="H52" s="67" t="s">
        <v>35</v>
      </c>
    </row>
    <row r="53" spans="2:8" ht="13.5" thickBot="1" x14ac:dyDescent="0.25">
      <c r="B53" s="59"/>
      <c r="C53" s="22">
        <v>0.1</v>
      </c>
      <c r="D53" s="22">
        <v>0.1</v>
      </c>
      <c r="E53" s="22">
        <v>0.2</v>
      </c>
      <c r="F53" s="22">
        <v>1.0670419287352617</v>
      </c>
      <c r="G53" s="22">
        <v>1.0728977694166877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-7.8077875752346291E-3</v>
      </c>
      <c r="D55" s="62" t="s">
        <v>37</v>
      </c>
      <c r="E55" s="60">
        <f>(1/(2^H53 - 1))*(F53-G53)</f>
        <v>-1.9519468938086573E-3</v>
      </c>
      <c r="F55" s="89" t="s">
        <v>38</v>
      </c>
      <c r="G55" s="91"/>
      <c r="H55" s="4">
        <f>G53+C55</f>
        <v>1.065089981841453</v>
      </c>
    </row>
    <row r="63" spans="2:8" x14ac:dyDescent="0.2">
      <c r="B63">
        <v>1.0728977694166877</v>
      </c>
      <c r="C63">
        <v>1.065089981841453</v>
      </c>
      <c r="D63">
        <f>100*((B63-C63)/B63)</f>
        <v>0.72772894098564822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C7E8D-346F-4C08-A094-684EE465C4B9}">
  <dimension ref="A1:S63"/>
  <sheetViews>
    <sheetView zoomScaleNormal="100" workbookViewId="0">
      <pane xSplit="1" topLeftCell="B1" activePane="topRight" state="frozen"/>
      <selection pane="topRight" activeCell="E12" sqref="E12"/>
    </sheetView>
  </sheetViews>
  <sheetFormatPr baseColWidth="10" defaultColWidth="9.140625" defaultRowHeight="12.75" x14ac:dyDescent="0.2"/>
  <cols>
    <col min="2" max="8" width="14.28515625" customWidth="1"/>
    <col min="13" max="13" width="12.5703125" bestFit="1" customWidth="1"/>
    <col min="14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1</v>
      </c>
      <c r="L5" s="19">
        <v>2</v>
      </c>
      <c r="M5" s="55">
        <v>3.268431745348487</v>
      </c>
      <c r="N5" s="57" cm="1">
        <f t="array" ref="N5">FXY(L5,M5)</f>
        <v>-169.57749776294864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1.25</v>
      </c>
      <c r="G6" s="100"/>
      <c r="H6" s="101"/>
      <c r="I6" s="34"/>
      <c r="J6" s="39"/>
      <c r="K6" s="9">
        <v>2</v>
      </c>
      <c r="L6" s="5">
        <v>3</v>
      </c>
      <c r="M6" s="56">
        <v>4.9889509133999264</v>
      </c>
      <c r="N6" s="58" cm="1">
        <f t="array" ref="N6">FXY(L6,M6)</f>
        <v>-1231.7314839081685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3</v>
      </c>
      <c r="L7" s="5">
        <v>4</v>
      </c>
      <c r="M7" s="56">
        <v>6.6266700172452717</v>
      </c>
      <c r="N7" s="58" cm="1">
        <f t="array" ref="N7">FXY(L7,M7)</f>
        <v>-4929.920786156672</v>
      </c>
      <c r="P7" s="37"/>
    </row>
    <row r="8" spans="1:19" ht="15.75" thickBot="1" x14ac:dyDescent="0.3">
      <c r="A8" s="33"/>
      <c r="B8" s="31">
        <v>0.2</v>
      </c>
      <c r="C8" s="25">
        <v>0</v>
      </c>
      <c r="D8" s="25">
        <f>$D$6</f>
        <v>0</v>
      </c>
      <c r="E8" s="25">
        <f>$F$6</f>
        <v>1.25</v>
      </c>
      <c r="F8" s="25" cm="1">
        <f t="array" ref="F8">B8*FXY(D8,E8)</f>
        <v>-0.19062500000000002</v>
      </c>
      <c r="G8" s="25" cm="1">
        <f t="array" ref="G8">B8*FXY(D8+B8,E8+F8)</f>
        <v>-3.9293382324218695E-2</v>
      </c>
      <c r="H8" s="26">
        <f>E8+(1/2)*(F8+G8)</f>
        <v>1.1350408088378907</v>
      </c>
      <c r="I8" s="33"/>
      <c r="J8" s="38"/>
      <c r="K8" s="69">
        <v>4</v>
      </c>
      <c r="L8" s="70">
        <v>5</v>
      </c>
      <c r="M8" s="71">
        <v>7.8750656279597431</v>
      </c>
      <c r="N8" s="72" cm="1">
        <f t="array" ref="N8">FXY(L8,M8)</f>
        <v>-12672.016678192993</v>
      </c>
      <c r="P8" s="37"/>
      <c r="S8" s="21"/>
    </row>
    <row r="9" spans="1:19" ht="15.75" thickBot="1" x14ac:dyDescent="0.3">
      <c r="A9" s="34"/>
      <c r="B9" s="27">
        <v>0.2</v>
      </c>
      <c r="C9" s="27">
        <f>C8+1</f>
        <v>1</v>
      </c>
      <c r="D9" s="27">
        <f>D8+B8</f>
        <v>0.2</v>
      </c>
      <c r="E9" s="27">
        <f>H8</f>
        <v>1.1350408088378907</v>
      </c>
      <c r="F9" s="27" cm="1">
        <f t="array" ref="F9">B9*FXY(D9,E9)</f>
        <v>-9.6156963461769232E-2</v>
      </c>
      <c r="G9" s="27" cm="1">
        <f t="array" ref="G9">B9*FXY(D9+B9,E9+F9)</f>
        <v>-2.8129115380636713E-2</v>
      </c>
      <c r="H9" s="28">
        <f t="shared" ref="H9:H10" si="0">E9+(1/2)*(F9+G9)</f>
        <v>1.0728977694166877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0.2</v>
      </c>
      <c r="C10" s="29">
        <f>C9+1</f>
        <v>2</v>
      </c>
      <c r="D10" s="29">
        <f t="shared" ref="D10" si="1">D9+B9</f>
        <v>0.4</v>
      </c>
      <c r="E10" s="29">
        <f>H9</f>
        <v>1.0728977694166877</v>
      </c>
      <c r="F10" s="29" cm="1">
        <f t="array" ref="F10">B10*FXY(D10,E10)</f>
        <v>-5.4525323828174321E-2</v>
      </c>
      <c r="G10" s="29" cm="1">
        <f t="array" ref="G10">B10*FXY(D10+B10,E10+F10)</f>
        <v>-1.5269040578023266E-2</v>
      </c>
      <c r="H10" s="28">
        <f t="shared" si="0"/>
        <v>1.0380005872135889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0.2</v>
      </c>
      <c r="C11" s="29">
        <f t="shared" ref="C11:C12" si="2">C10+1</f>
        <v>3</v>
      </c>
      <c r="D11" s="29">
        <f t="shared" ref="D11:D12" si="3">D10+B10</f>
        <v>0.60000000000000009</v>
      </c>
      <c r="E11" s="29">
        <f t="shared" ref="E11:E12" si="4">H10</f>
        <v>1.0380005872135889</v>
      </c>
      <c r="F11" s="29" cm="1">
        <f t="array" ref="F11">B11*FXY(D11,E11)</f>
        <v>-3.2201745459134623E-2</v>
      </c>
      <c r="G11" s="29" cm="1">
        <f t="array" ref="G11">B11*FXY(D11+B11,E11+F11)</f>
        <v>-5.7392127854289229E-3</v>
      </c>
      <c r="H11" s="28">
        <f t="shared" ref="H11:H12" si="5">E11+(1/2)*(F11+G11)</f>
        <v>1.0190301080913071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20" t="s">
        <v>15</v>
      </c>
    </row>
    <row r="12" spans="1:19" x14ac:dyDescent="0.2">
      <c r="A12" s="35"/>
      <c r="B12" s="29">
        <v>0.2</v>
      </c>
      <c r="C12" s="29">
        <f t="shared" si="2"/>
        <v>4</v>
      </c>
      <c r="D12" s="29">
        <f t="shared" si="3"/>
        <v>0.8</v>
      </c>
      <c r="E12" s="29">
        <f t="shared" si="4"/>
        <v>1.0190301080913071</v>
      </c>
      <c r="F12" s="29" cm="1">
        <f t="array" ref="F12">B12*FXY(D12,E12)</f>
        <v>-1.9084237519663011E-2</v>
      </c>
      <c r="G12" s="29" cm="1">
        <f t="array" ref="G12">B12*FXY(D12+B12,E12+F12)</f>
        <v>6.4951798096535293E-5</v>
      </c>
      <c r="H12" s="28">
        <f t="shared" si="5"/>
        <v>1.0095204652305239</v>
      </c>
      <c r="I12" s="35"/>
      <c r="J12" s="29">
        <v>1</v>
      </c>
      <c r="K12" s="6">
        <v>5</v>
      </c>
      <c r="L12" s="12">
        <f>L8+J12</f>
        <v>6</v>
      </c>
      <c r="M12" s="7">
        <f>M5+ ((4/3) * J12) * (2*N6 - N7 + 2*N8)</f>
        <v>-30500.165618982184</v>
      </c>
      <c r="N12" s="8" cm="1">
        <f t="array" ref="N12">FXY(L12,M12)</f>
        <v>1049804226536357.9</v>
      </c>
      <c r="O12" s="8">
        <f>M7 + (J12/3) * (N7 + 4*N8 + N12)</f>
        <v>349934742160253.25</v>
      </c>
      <c r="P12">
        <f t="shared" ref="P12:P28" si="6">(-1/29) * (O12 - M12)</f>
        <v>-12066715247957.016</v>
      </c>
    </row>
    <row r="13" spans="1:19" x14ac:dyDescent="0.2">
      <c r="A13" s="35"/>
      <c r="B13" s="29">
        <v>0.2</v>
      </c>
      <c r="C13" s="29">
        <f t="shared" ref="C13" si="7">C12+1</f>
        <v>5</v>
      </c>
      <c r="D13" s="29">
        <f t="shared" ref="D13" si="8">D12+B12</f>
        <v>1</v>
      </c>
      <c r="E13" s="29">
        <f t="shared" ref="E13" si="9">H12</f>
        <v>1.0095204652305239</v>
      </c>
      <c r="F13" s="29" cm="1">
        <f t="array" ref="F13">B13*FXY(D13,E13)</f>
        <v>-1.1533670557637876E-2</v>
      </c>
      <c r="G13" s="29" cm="1">
        <f t="array" ref="G13">B13*FXY(D13+B13,E13+F13)</f>
        <v>2.9414029950481338E-3</v>
      </c>
      <c r="H13" s="28">
        <f t="shared" ref="H13" si="10">E13+(1/2)*(F13+G13)</f>
        <v>1.0052243314492291</v>
      </c>
      <c r="I13" s="35"/>
      <c r="J13" s="29">
        <v>1</v>
      </c>
      <c r="K13" s="9">
        <f>1+K12</f>
        <v>6</v>
      </c>
      <c r="L13" s="13">
        <f>L12+J12</f>
        <v>7</v>
      </c>
      <c r="M13" s="5">
        <f>M6+ ((4/3) * J13) * (2*N7 - N8 + 2*O12)</f>
        <v>933159312431096.5</v>
      </c>
      <c r="N13" s="18" cm="1">
        <f t="array" ref="N13">FXY(L13,M13)</f>
        <v>-4.0629117360021163E+46</v>
      </c>
      <c r="O13" s="42">
        <f>M8 + (J13/3) * (N8 + 4*O9 + N13)</f>
        <v>-1.3543039120007054E+46</v>
      </c>
      <c r="P13">
        <f t="shared" si="6"/>
        <v>4.6700134896576048E+44</v>
      </c>
    </row>
    <row r="14" spans="1:19" x14ac:dyDescent="0.2">
      <c r="A14" s="35"/>
      <c r="B14" s="29">
        <v>0.2</v>
      </c>
      <c r="C14" s="29">
        <f t="shared" ref="C14:C18" si="11">C13+1</f>
        <v>6</v>
      </c>
      <c r="D14" s="29">
        <f t="shared" ref="D14:D18" si="12">D13+B13</f>
        <v>1.2</v>
      </c>
      <c r="E14" s="29">
        <f t="shared" ref="E14:E18" si="13">H13</f>
        <v>1.0052243314492291</v>
      </c>
      <c r="F14" s="29" cm="1">
        <f t="array" ref="F14">B14*FXY(D14,E14)</f>
        <v>-7.6884487137175855E-3</v>
      </c>
      <c r="G14" s="29" cm="1">
        <f t="array" ref="G14">B14*FXY(D14+B14,E14+F14)</f>
        <v>4.365497471088416E-3</v>
      </c>
      <c r="H14" s="28">
        <f t="shared" ref="H14:H18" si="14">E14+(1/2)*(F14+G14)</f>
        <v>1.0035628558279144</v>
      </c>
      <c r="I14" s="35"/>
      <c r="J14" s="29">
        <v>1</v>
      </c>
      <c r="K14" s="9">
        <f t="shared" ref="K14:K27" si="15">1+K13</f>
        <v>7</v>
      </c>
      <c r="L14" s="5">
        <f t="shared" ref="L14:L28" si="16">L13+J13</f>
        <v>8</v>
      </c>
      <c r="M14" s="5"/>
      <c r="N14" s="18"/>
      <c r="O14" s="42"/>
      <c r="P14">
        <f t="shared" si="6"/>
        <v>0</v>
      </c>
    </row>
    <row r="15" spans="1:19" ht="13.5" thickBot="1" x14ac:dyDescent="0.25">
      <c r="B15" s="29">
        <v>0.2</v>
      </c>
      <c r="C15" s="29">
        <f t="shared" si="11"/>
        <v>7</v>
      </c>
      <c r="D15" s="29">
        <f t="shared" si="12"/>
        <v>1.4</v>
      </c>
      <c r="E15" s="29">
        <f t="shared" si="13"/>
        <v>1.0035628558279144</v>
      </c>
      <c r="F15" s="29" cm="1">
        <f t="array" ref="F15">B15*FXY(D15,E15)</f>
        <v>-6.3502031649441057E-3</v>
      </c>
      <c r="G15" s="29" cm="1">
        <f t="array" ref="G15">B15*FXY(D15+B15,E15+F15)</f>
        <v>5.9371940949322771E-3</v>
      </c>
      <c r="H15" s="28">
        <f t="shared" si="14"/>
        <v>1.0033563512929085</v>
      </c>
      <c r="J15" s="29">
        <v>1</v>
      </c>
      <c r="K15" s="10">
        <f t="shared" si="15"/>
        <v>8</v>
      </c>
      <c r="L15" s="11">
        <f t="shared" si="16"/>
        <v>9</v>
      </c>
      <c r="M15" s="11"/>
      <c r="N15" s="3"/>
      <c r="O15" s="43"/>
      <c r="P15">
        <f t="shared" si="6"/>
        <v>0</v>
      </c>
    </row>
    <row r="16" spans="1:19" x14ac:dyDescent="0.2">
      <c r="B16" s="29">
        <v>0.2</v>
      </c>
      <c r="C16" s="29">
        <f t="shared" si="11"/>
        <v>8</v>
      </c>
      <c r="D16" s="29">
        <f t="shared" si="12"/>
        <v>1.5999999999999999</v>
      </c>
      <c r="E16" s="29">
        <f t="shared" si="13"/>
        <v>1.0033563512929085</v>
      </c>
      <c r="F16" s="29" cm="1">
        <f t="array" ref="F16">B16*FXY(D16,E16)</f>
        <v>-7.1932555228837449E-3</v>
      </c>
      <c r="G16" s="29" cm="1">
        <f t="array" ref="G16">B16*FXY(D16+B16,E16+F16)</f>
        <v>9.7236799155377713E-3</v>
      </c>
      <c r="H16" s="28">
        <f t="shared" si="14"/>
        <v>1.0046215634892355</v>
      </c>
      <c r="J16" s="29">
        <v>1</v>
      </c>
      <c r="K16" s="6">
        <f t="shared" si="15"/>
        <v>9</v>
      </c>
      <c r="L16" s="7">
        <f t="shared" si="16"/>
        <v>10</v>
      </c>
      <c r="M16" s="7"/>
      <c r="N16" s="17"/>
      <c r="O16" s="8"/>
      <c r="P16">
        <f t="shared" si="6"/>
        <v>0</v>
      </c>
    </row>
    <row r="17" spans="2:16" x14ac:dyDescent="0.2">
      <c r="B17" s="29">
        <v>0.2</v>
      </c>
      <c r="C17" s="29">
        <f t="shared" si="11"/>
        <v>9</v>
      </c>
      <c r="D17" s="29">
        <f t="shared" si="12"/>
        <v>1.7999999999999998</v>
      </c>
      <c r="E17" s="29">
        <f t="shared" si="13"/>
        <v>1.0046215634892355</v>
      </c>
      <c r="F17" s="29" cm="1">
        <f t="array" ref="F17">B17*FXY(D17,E17)</f>
        <v>-1.1811678135850363E-2</v>
      </c>
      <c r="G17" s="29" cm="1">
        <f t="array" ref="G17">B17*FXY(D17+B17,E17+F17)</f>
        <v>2.1415622406689927E-2</v>
      </c>
      <c r="H17" s="28">
        <f t="shared" si="14"/>
        <v>1.0094235356246553</v>
      </c>
      <c r="J17" s="29">
        <v>1</v>
      </c>
      <c r="K17" s="9">
        <f t="shared" si="15"/>
        <v>10</v>
      </c>
      <c r="L17" s="5">
        <f t="shared" si="16"/>
        <v>11</v>
      </c>
      <c r="M17" s="19"/>
      <c r="N17" s="18"/>
      <c r="O17" s="45"/>
      <c r="P17">
        <f t="shared" si="6"/>
        <v>0</v>
      </c>
    </row>
    <row r="18" spans="2:16" ht="13.5" thickBot="1" x14ac:dyDescent="0.25">
      <c r="B18" s="29">
        <v>0.2</v>
      </c>
      <c r="C18" s="29">
        <f t="shared" si="11"/>
        <v>10</v>
      </c>
      <c r="D18" s="29">
        <f t="shared" si="12"/>
        <v>1.9999999999999998</v>
      </c>
      <c r="E18" s="29">
        <f t="shared" si="13"/>
        <v>1.0094235356246553</v>
      </c>
      <c r="F18" s="29" cm="1">
        <f t="array" ref="F18">B18*FXY(D18,E18)</f>
        <v>-2.8537852783430347E-2</v>
      </c>
      <c r="G18" s="29" cm="1">
        <f t="array" ref="G18">B18*FXY(D18+B18,E18+F18)</f>
        <v>6.5704512762895878E-2</v>
      </c>
      <c r="H18" s="28">
        <f t="shared" si="14"/>
        <v>1.0280068656143879</v>
      </c>
      <c r="J18" s="29">
        <v>1</v>
      </c>
      <c r="K18" s="9">
        <f t="shared" si="15"/>
        <v>11</v>
      </c>
      <c r="L18" s="5">
        <f t="shared" si="16"/>
        <v>12</v>
      </c>
      <c r="M18" s="5"/>
      <c r="N18" s="18"/>
      <c r="O18" s="42"/>
      <c r="P18">
        <f t="shared" si="6"/>
        <v>0</v>
      </c>
    </row>
    <row r="19" spans="2:16" x14ac:dyDescent="0.2">
      <c r="B19" s="27">
        <v>0.2</v>
      </c>
      <c r="C19" s="27">
        <f t="shared" ref="C19:C23" si="17">C18+1</f>
        <v>11</v>
      </c>
      <c r="D19" s="27">
        <f t="shared" ref="D19:D23" si="18">D18+B18</f>
        <v>2.1999999999999997</v>
      </c>
      <c r="E19" s="27">
        <f t="shared" ref="E19:E23" si="19">H18</f>
        <v>1.0280068656143879</v>
      </c>
      <c r="F19" s="27" cm="1">
        <f t="array" ref="F19">B19*FXY(D19,E19)</f>
        <v>-0.10091019927770127</v>
      </c>
      <c r="G19" s="27" cm="1">
        <f t="array" ref="G19">B19*FXY(D19+B19,E19+F19)</f>
        <v>0.27466256728453486</v>
      </c>
      <c r="H19" s="30">
        <f t="shared" ref="H19:H23" si="20">E19+(1/2)*(F19+G19)</f>
        <v>1.1148830496178048</v>
      </c>
      <c r="J19" s="29">
        <v>1</v>
      </c>
      <c r="K19" s="9">
        <f t="shared" si="15"/>
        <v>12</v>
      </c>
      <c r="L19" s="5">
        <f t="shared" si="16"/>
        <v>13</v>
      </c>
      <c r="M19" s="5"/>
      <c r="N19" s="18"/>
      <c r="O19" s="42"/>
      <c r="P19">
        <f t="shared" si="6"/>
        <v>0</v>
      </c>
    </row>
    <row r="20" spans="2:16" x14ac:dyDescent="0.2">
      <c r="B20" s="29">
        <v>0.2</v>
      </c>
      <c r="C20" s="29">
        <f t="shared" si="17"/>
        <v>12</v>
      </c>
      <c r="D20" s="29">
        <f t="shared" si="18"/>
        <v>2.4</v>
      </c>
      <c r="E20" s="29">
        <f t="shared" si="19"/>
        <v>1.1148830496178048</v>
      </c>
      <c r="F20" s="29" cm="1">
        <f t="array" ref="F20">B20*FXY(D20,E20)</f>
        <v>-0.52154716014162472</v>
      </c>
      <c r="G20" s="29" cm="1">
        <f t="array" ref="G20">B20*FXY(D20+B20,E20+F20)</f>
        <v>1.2278145100116653</v>
      </c>
      <c r="H20" s="28">
        <f t="shared" si="20"/>
        <v>1.4680167245528251</v>
      </c>
      <c r="J20" s="29">
        <v>1</v>
      </c>
      <c r="K20" s="9">
        <f t="shared" si="15"/>
        <v>13</v>
      </c>
      <c r="L20" s="5">
        <f t="shared" si="16"/>
        <v>14</v>
      </c>
      <c r="M20" s="5"/>
      <c r="N20" s="18"/>
      <c r="O20" s="42"/>
      <c r="P20">
        <f t="shared" si="6"/>
        <v>0</v>
      </c>
    </row>
    <row r="21" spans="2:16" x14ac:dyDescent="0.2">
      <c r="B21" s="29">
        <v>0.2</v>
      </c>
      <c r="C21" s="29">
        <f t="shared" si="17"/>
        <v>13</v>
      </c>
      <c r="D21" s="29">
        <f t="shared" si="18"/>
        <v>2.6</v>
      </c>
      <c r="E21" s="29">
        <f t="shared" si="19"/>
        <v>1.4680167245528251</v>
      </c>
      <c r="F21" s="29" cm="1">
        <f t="array" ref="F21">B21*FXY(D21,E21)</f>
        <v>-3.358036572655891</v>
      </c>
      <c r="G21" s="29" cm="1">
        <f t="array" ref="G21">B21*FXY(D21+B21,E21+F21)</f>
        <v>13.704619646414296</v>
      </c>
      <c r="H21" s="28">
        <f t="shared" si="20"/>
        <v>6.6413082614320276</v>
      </c>
      <c r="J21" s="29">
        <v>1</v>
      </c>
      <c r="K21" s="9">
        <f t="shared" si="15"/>
        <v>14</v>
      </c>
      <c r="L21" s="5">
        <f t="shared" si="16"/>
        <v>15</v>
      </c>
      <c r="M21" s="5"/>
      <c r="N21" s="18"/>
      <c r="O21" s="42"/>
      <c r="P21">
        <f t="shared" si="6"/>
        <v>0</v>
      </c>
    </row>
    <row r="22" spans="2:16" x14ac:dyDescent="0.2">
      <c r="B22" s="29">
        <v>0.2</v>
      </c>
      <c r="C22" s="29">
        <f t="shared" si="17"/>
        <v>14</v>
      </c>
      <c r="D22" s="29">
        <f t="shared" si="18"/>
        <v>2.8000000000000003</v>
      </c>
      <c r="E22" s="29">
        <f t="shared" si="19"/>
        <v>6.6413082614320276</v>
      </c>
      <c r="F22" s="29" cm="1">
        <f t="array" ref="F22">B22*FXY(D22,E22)</f>
        <v>-516.12873983024463</v>
      </c>
      <c r="G22" s="29" cm="1">
        <f t="array" ref="G22">B22*FXY(D22+B22,E22+F22)</f>
        <v>264502891.37973228</v>
      </c>
      <c r="H22" s="28">
        <f t="shared" si="20"/>
        <v>132251194.26680449</v>
      </c>
      <c r="J22" s="29">
        <v>1</v>
      </c>
      <c r="K22" s="9">
        <f t="shared" si="15"/>
        <v>15</v>
      </c>
      <c r="L22" s="5">
        <f t="shared" si="16"/>
        <v>16</v>
      </c>
      <c r="M22" s="5"/>
      <c r="N22" s="18"/>
      <c r="O22" s="42"/>
      <c r="P22">
        <f t="shared" si="6"/>
        <v>0</v>
      </c>
    </row>
    <row r="23" spans="2:16" ht="13.5" thickBot="1" x14ac:dyDescent="0.25">
      <c r="B23" s="25">
        <v>0.2</v>
      </c>
      <c r="C23" s="25">
        <f t="shared" si="17"/>
        <v>15</v>
      </c>
      <c r="D23" s="25">
        <f t="shared" si="18"/>
        <v>3.0000000000000004</v>
      </c>
      <c r="E23" s="25">
        <f t="shared" si="19"/>
        <v>132251194.26680449</v>
      </c>
      <c r="F23" s="25" cm="1">
        <f t="array" ref="F23">B23*FXY(D23,E23)</f>
        <v>-4.6262468591880663E+24</v>
      </c>
      <c r="G23" s="25" cm="1">
        <f t="array" ref="G23">B23*FXY(D23+B23,E23+F23)</f>
        <v>2.2257824650101447E+74</v>
      </c>
      <c r="H23" s="26">
        <f t="shared" si="20"/>
        <v>1.1128912325050723E+74</v>
      </c>
      <c r="J23" s="29">
        <v>1</v>
      </c>
      <c r="K23" s="9">
        <f t="shared" si="15"/>
        <v>16</v>
      </c>
      <c r="L23" s="5">
        <f t="shared" si="16"/>
        <v>17</v>
      </c>
      <c r="M23" s="5"/>
      <c r="N23" s="18"/>
      <c r="O23" s="42"/>
      <c r="P23">
        <f t="shared" si="6"/>
        <v>0</v>
      </c>
    </row>
    <row r="24" spans="2:16" x14ac:dyDescent="0.2">
      <c r="J24" s="29">
        <v>1</v>
      </c>
      <c r="K24" s="9">
        <f t="shared" si="15"/>
        <v>17</v>
      </c>
      <c r="L24" s="5">
        <f t="shared" si="16"/>
        <v>18</v>
      </c>
      <c r="M24" s="5"/>
      <c r="N24" s="18"/>
      <c r="O24" s="42"/>
      <c r="P24">
        <f t="shared" si="6"/>
        <v>0</v>
      </c>
    </row>
    <row r="25" spans="2:16" x14ac:dyDescent="0.2">
      <c r="J25" s="29">
        <v>1</v>
      </c>
      <c r="K25" s="9">
        <f t="shared" si="15"/>
        <v>18</v>
      </c>
      <c r="L25" s="5">
        <f t="shared" si="16"/>
        <v>19</v>
      </c>
      <c r="M25" s="5"/>
      <c r="N25" s="18"/>
      <c r="O25" s="42"/>
      <c r="P25">
        <f t="shared" si="6"/>
        <v>0</v>
      </c>
    </row>
    <row r="26" spans="2:16" ht="13.5" thickBot="1" x14ac:dyDescent="0.25">
      <c r="J26" s="29">
        <v>1</v>
      </c>
      <c r="K26" s="9">
        <f t="shared" si="15"/>
        <v>19</v>
      </c>
      <c r="L26" s="5">
        <f t="shared" si="16"/>
        <v>20</v>
      </c>
      <c r="M26" s="5"/>
      <c r="N26" s="18"/>
      <c r="O26" s="42"/>
      <c r="P26">
        <f t="shared" si="6"/>
        <v>0</v>
      </c>
    </row>
    <row r="27" spans="2:16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>
        <f t="shared" si="15"/>
        <v>20</v>
      </c>
      <c r="L27" s="5">
        <f t="shared" si="16"/>
        <v>21</v>
      </c>
      <c r="M27" s="5"/>
      <c r="N27" s="18"/>
      <c r="O27" s="42"/>
      <c r="P27">
        <f t="shared" si="6"/>
        <v>0</v>
      </c>
    </row>
    <row r="28" spans="2:16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>
        <f>1+K27</f>
        <v>21</v>
      </c>
      <c r="L28" s="11">
        <f t="shared" si="16"/>
        <v>22</v>
      </c>
      <c r="M28" s="11"/>
      <c r="N28" s="3"/>
      <c r="O28" s="43"/>
      <c r="P28">
        <f t="shared" si="6"/>
        <v>0</v>
      </c>
    </row>
    <row r="29" spans="2:16" ht="15" x14ac:dyDescent="0.25">
      <c r="C29" s="83" t="s">
        <v>20</v>
      </c>
      <c r="D29" s="84"/>
      <c r="E29" s="84"/>
      <c r="F29" s="84"/>
      <c r="G29" s="84"/>
      <c r="H29" s="85"/>
    </row>
    <row r="30" spans="2:16" ht="15.75" thickBot="1" x14ac:dyDescent="0.3">
      <c r="C30" s="95" t="s">
        <v>21</v>
      </c>
      <c r="D30" s="96"/>
      <c r="E30" s="96"/>
      <c r="F30" s="96"/>
      <c r="G30" s="96"/>
      <c r="H30" s="97"/>
    </row>
    <row r="31" spans="2:16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6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</row>
    <row r="33" spans="2:18" ht="13.5" thickBot="1" x14ac:dyDescent="0.25">
      <c r="B33" s="31">
        <v>0.2</v>
      </c>
      <c r="C33" s="25">
        <v>0</v>
      </c>
      <c r="D33" s="25">
        <f>$D$6</f>
        <v>0</v>
      </c>
      <c r="E33" s="25">
        <f>$F$6</f>
        <v>1.25</v>
      </c>
      <c r="F33" s="25" cm="1">
        <f t="array" ref="F33">B33*FXY(D33,E33)</f>
        <v>-0.19062500000000002</v>
      </c>
      <c r="G33" s="25" cm="1">
        <f t="array" ref="G33">B33*FXY(D33+B33,E33+F33)</f>
        <v>-3.9293382324218695E-2</v>
      </c>
      <c r="H33" s="26">
        <f>E33+(1/2)*(F33+G33)</f>
        <v>1.1350408088378907</v>
      </c>
      <c r="J33" s="103">
        <v>1.4</v>
      </c>
      <c r="K33" s="104"/>
      <c r="L33" s="105">
        <v>1.5999999999999999</v>
      </c>
      <c r="M33" s="104"/>
      <c r="N33" s="105">
        <v>1.7999999999999998</v>
      </c>
      <c r="O33" s="106"/>
    </row>
    <row r="34" spans="2:18" ht="13.5" thickBot="1" x14ac:dyDescent="0.25">
      <c r="B34" s="27">
        <v>0.1</v>
      </c>
      <c r="C34" s="27">
        <f>C33+1</f>
        <v>1</v>
      </c>
      <c r="D34" s="27">
        <f>D33+B33</f>
        <v>0.2</v>
      </c>
      <c r="E34" s="27">
        <f>H33</f>
        <v>1.1350408088378907</v>
      </c>
      <c r="F34" s="27" cm="1">
        <f t="array" ref="F34">B34*FXY(D34,E34)</f>
        <v>-4.8078481730884616E-2</v>
      </c>
      <c r="G34" s="27" cm="1">
        <f t="array" ref="G34">B34*FXY(D34+B34,E34+F34)</f>
        <v>-3.098128454040594E-2</v>
      </c>
      <c r="H34" s="28">
        <f t="shared" ref="H34:H35" si="21">E34+(1/2)*(F34+G34)</f>
        <v>1.0955109257022455</v>
      </c>
      <c r="J34" s="107">
        <v>1.0035628558279099</v>
      </c>
      <c r="K34" s="108"/>
      <c r="L34" s="109">
        <v>1.00335635129291</v>
      </c>
      <c r="M34" s="108"/>
      <c r="N34" s="109">
        <v>1.0046215634892399</v>
      </c>
      <c r="O34" s="110"/>
    </row>
    <row r="35" spans="2:18" ht="15.75" thickBot="1" x14ac:dyDescent="0.3">
      <c r="B35" s="29">
        <v>0.1</v>
      </c>
      <c r="C35" s="29">
        <f>C34+1</f>
        <v>2</v>
      </c>
      <c r="D35" s="29">
        <f t="shared" ref="D35" si="22">D34+B34</f>
        <v>0.30000000000000004</v>
      </c>
      <c r="E35" s="29">
        <f>H34</f>
        <v>1.0955109257022455</v>
      </c>
      <c r="F35" s="29" cm="1">
        <f t="array" ref="F35">B35*FXY(D35,E35)</f>
        <v>-3.4310046710316108E-2</v>
      </c>
      <c r="G35" s="29" cm="1">
        <f t="array" ref="G35">B35*FXY(D35+B35,E35+F35)</f>
        <v>-2.2627947223651419E-2</v>
      </c>
      <c r="H35" s="28">
        <f t="shared" si="21"/>
        <v>1.0670419287352617</v>
      </c>
      <c r="K35" s="111">
        <f>(L34-J34)/(L33-J33)</f>
        <v>-1.0325226749996477E-3</v>
      </c>
      <c r="L35" s="112"/>
      <c r="M35" s="111">
        <f>(N34-L34)/(N33-L33)</f>
        <v>6.3260609816495634E-3</v>
      </c>
      <c r="N35" s="112"/>
      <c r="O35" s="1"/>
    </row>
    <row r="36" spans="2:18" ht="15.75" thickBot="1" x14ac:dyDescent="0.3">
      <c r="B36" s="29">
        <v>0.1</v>
      </c>
      <c r="C36" s="29">
        <f>C35+1</f>
        <v>3</v>
      </c>
      <c r="D36" s="29">
        <f t="shared" ref="D36" si="23">D35+B35</f>
        <v>0.4</v>
      </c>
      <c r="E36" s="29">
        <f>H35</f>
        <v>1.0670419287352617</v>
      </c>
      <c r="F36" s="29" cm="1">
        <f t="array" ref="F36">B36*FXY(D36,E36)</f>
        <v>-2.4929673081339088E-2</v>
      </c>
      <c r="G36" s="29" cm="1">
        <f t="array" ref="G36">B36*FXY(D36+B36,E36+F36)</f>
        <v>-1.6466472104581853E-2</v>
      </c>
      <c r="H36" s="28">
        <f t="shared" ref="H36" si="24">E36+(1/2)*(F36+G36)</f>
        <v>1.0463438561423013</v>
      </c>
      <c r="L36" s="111">
        <f>(N33-J33)/(M35-K35)</f>
        <v>54.358286684498069</v>
      </c>
      <c r="M36" s="112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1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1 = 1.00356285582791 + (-0.00103252267499965) * (t - 1.4) + (54.3582866844981) * (t -1.4) * (t - 1.6)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41</v>
      </c>
    </row>
    <row r="46" spans="2:18" x14ac:dyDescent="0.2">
      <c r="B46" s="29"/>
      <c r="C46" s="29"/>
      <c r="D46" s="29"/>
      <c r="E46" s="29"/>
      <c r="F46" s="29"/>
      <c r="G46" s="29"/>
      <c r="H46" s="28"/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33</v>
      </c>
      <c r="G52" s="66" t="s">
        <v>34</v>
      </c>
      <c r="H52" s="67" t="s">
        <v>35</v>
      </c>
    </row>
    <row r="53" spans="2:8" ht="13.5" thickBot="1" x14ac:dyDescent="0.25">
      <c r="B53" s="59"/>
      <c r="C53" s="22">
        <v>0.1</v>
      </c>
      <c r="D53" s="22">
        <v>0.1</v>
      </c>
      <c r="E53" s="22">
        <v>0.2</v>
      </c>
      <c r="F53" s="22">
        <v>1.0670419287352617</v>
      </c>
      <c r="G53" s="22">
        <v>1.0728977694166877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-7.8077875752346291E-3</v>
      </c>
      <c r="D55" s="62" t="s">
        <v>37</v>
      </c>
      <c r="E55" s="60">
        <f>(1/(2^H53 - 1))*(F53-G53)</f>
        <v>-1.9519468938086573E-3</v>
      </c>
      <c r="F55" s="89" t="s">
        <v>38</v>
      </c>
      <c r="G55" s="91"/>
      <c r="H55" s="4">
        <f>G53+C55</f>
        <v>1.065089981841453</v>
      </c>
    </row>
    <row r="63" spans="2:8" x14ac:dyDescent="0.2">
      <c r="B63">
        <v>1.0728977694166877</v>
      </c>
      <c r="C63">
        <v>1.065089981841453</v>
      </c>
      <c r="D63">
        <f>100*((B63-C63)/B63)</f>
        <v>0.72772894098564822</v>
      </c>
    </row>
  </sheetData>
  <mergeCells count="31">
    <mergeCell ref="Q39:R39"/>
    <mergeCell ref="J39:N39"/>
    <mergeCell ref="O39:P39"/>
    <mergeCell ref="B51:H51"/>
    <mergeCell ref="F55:G55"/>
    <mergeCell ref="J40:R40"/>
    <mergeCell ref="L36:M36"/>
    <mergeCell ref="C30:H30"/>
    <mergeCell ref="B31:B32"/>
    <mergeCell ref="G31:H31"/>
    <mergeCell ref="J32:O32"/>
    <mergeCell ref="J33:K33"/>
    <mergeCell ref="L33:M33"/>
    <mergeCell ref="N33:O33"/>
    <mergeCell ref="J34:K34"/>
    <mergeCell ref="L34:M34"/>
    <mergeCell ref="N34:O34"/>
    <mergeCell ref="K35:L35"/>
    <mergeCell ref="M35:N35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42D2-6CB8-49B9-81C7-E129407578ED}">
  <dimension ref="A1:S63"/>
  <sheetViews>
    <sheetView zoomScaleNormal="100" workbookViewId="0">
      <pane xSplit="1" topLeftCell="B1" activePane="topRight" state="frozen"/>
      <selection pane="topRight" activeCell="L51" sqref="L51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0</v>
      </c>
      <c r="N5" s="57" cm="1">
        <f t="array" ref="N5">FXY(L5,M5)</f>
        <v>2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0</v>
      </c>
      <c r="G6" s="100"/>
      <c r="H6" s="101"/>
      <c r="I6" s="34"/>
      <c r="J6" s="39"/>
      <c r="K6" s="9">
        <v>1</v>
      </c>
      <c r="L6" s="5">
        <v>1</v>
      </c>
      <c r="M6" s="56">
        <v>2.6181050170455262</v>
      </c>
      <c r="N6" s="58" cm="1">
        <f t="array" ref="N6">FXY(L6,M6)</f>
        <v>3.1458819076204732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7.1444026715461888</v>
      </c>
      <c r="N7" s="58" cm="1">
        <f t="array" ref="N7">FXY(L7,M7)</f>
        <v>6.0000012458928174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0</v>
      </c>
      <c r="F8" s="25" cm="1">
        <f t="array" ref="F8">B8*FXY(D8,E8)</f>
        <v>2</v>
      </c>
      <c r="G8" s="25" cm="1">
        <f t="array" ref="G8">B8*FXY(D8+B8,E8+F8)</f>
        <v>3.2706705664732256</v>
      </c>
      <c r="H8" s="26">
        <f>E8+(1/2)*(F8+G8)</f>
        <v>2.6353352832366128</v>
      </c>
      <c r="I8" s="33"/>
      <c r="J8" s="38"/>
      <c r="K8" s="69">
        <v>3</v>
      </c>
      <c r="L8" s="70">
        <v>3</v>
      </c>
      <c r="M8" s="71">
        <v>14.644402879203971</v>
      </c>
      <c r="N8" s="72" cm="1">
        <f t="array" ref="N8">FXY(L8,M8)</f>
        <v>9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79">
        <v>2.6181050170455262</v>
      </c>
      <c r="F9" s="27" cm="1">
        <f t="array" ref="F9">B9*FXY(D9,E9)</f>
        <v>3.1458819076204732</v>
      </c>
      <c r="G9" s="27" cm="1">
        <f t="array" ref="G9">B9*FXY(D9+B9,E9+F9)</f>
        <v>6.0000197012855345</v>
      </c>
      <c r="H9" s="28">
        <f t="shared" ref="H9:H11" si="0">E9+(1/2)*(F9+G9)</f>
        <v>7.1910558214985301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 t="shared" ref="D10:D11" si="1">D9+B9</f>
        <v>2</v>
      </c>
      <c r="E10" s="80">
        <v>7.1444026715461888</v>
      </c>
      <c r="F10" s="29" cm="1">
        <f t="array" ref="F10">B10*FXY(D10,E10)</f>
        <v>6.0000012458928174</v>
      </c>
      <c r="G10" s="29" cm="1">
        <f t="array" ref="G10">B10*FXY(D10+B10,E10+F10)</f>
        <v>9</v>
      </c>
      <c r="H10" s="28">
        <f t="shared" si="0"/>
        <v>14.644403294492598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5.75" thickBot="1" x14ac:dyDescent="0.3">
      <c r="A11" s="35"/>
      <c r="B11" s="29">
        <v>1</v>
      </c>
      <c r="C11" s="29">
        <f t="shared" ref="C11" si="2">C10+1</f>
        <v>3</v>
      </c>
      <c r="D11" s="29">
        <f t="shared" si="1"/>
        <v>3</v>
      </c>
      <c r="E11" s="80">
        <v>14.644402879203971</v>
      </c>
      <c r="F11" s="29" cm="1">
        <f t="array" ref="F11">B11*FXY(D11,E11)</f>
        <v>9</v>
      </c>
      <c r="G11" s="29" cm="1">
        <f t="array" ref="G11">B11*FXY(D11+B11,E11+F11)</f>
        <v>12</v>
      </c>
      <c r="H11" s="28">
        <f t="shared" si="0"/>
        <v>25.144402879203973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/>
      <c r="C12" s="29"/>
      <c r="D12" s="29"/>
      <c r="E12" s="29"/>
      <c r="F12" s="29"/>
      <c r="G12" s="29"/>
      <c r="H12" s="28"/>
      <c r="I12" s="35"/>
      <c r="J12" s="29">
        <v>1</v>
      </c>
      <c r="K12" s="6">
        <v>4</v>
      </c>
      <c r="L12" s="12">
        <f>L8+J12</f>
        <v>4</v>
      </c>
      <c r="M12" s="7">
        <f>M5+ ((4/3) * J12) * (2*N6 - N7 + 2*N8)</f>
        <v>24.38901675913084</v>
      </c>
      <c r="N12" s="8" cm="1">
        <f t="array" ref="N12">FXY(L12,M12)</f>
        <v>12</v>
      </c>
      <c r="O12" s="8">
        <f>M7 + (J12/3) * (N7 + 4*N8 + N12)</f>
        <v>25.144403086843795</v>
      </c>
      <c r="P12" s="27">
        <f t="shared" ref="P12:P28" si="3">(-1/29) * (O12 - M12)</f>
        <v>-2.6047804403895005E-2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>1+K12</f>
        <v>5</v>
      </c>
      <c r="L13" s="13">
        <f>L12+J12</f>
        <v>5</v>
      </c>
      <c r="M13" s="5">
        <f>M6+ ((4/3) * J13) * (2*N7 - N8 + 2*N12)</f>
        <v>38.618108339426378</v>
      </c>
      <c r="N13" s="18" cm="1">
        <f t="array" ref="N13">FXY(L13,M13)</f>
        <v>15</v>
      </c>
      <c r="O13" s="42">
        <f>M8 + (J13/3) * (N8 + 4*N12 + N13)</f>
        <v>38.644402879203973</v>
      </c>
      <c r="P13" s="29">
        <f t="shared" si="3"/>
        <v>-9.0670826819293465E-4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 t="shared" ref="K14:K16" si="4">1+K13</f>
        <v>6</v>
      </c>
      <c r="L14" s="5">
        <f t="shared" ref="L14:L16" si="5">L13+J13</f>
        <v>6</v>
      </c>
      <c r="M14" s="5">
        <f>M7+ ((4/3) * J14) * (2*N8 - N12 + 2*N13)</f>
        <v>55.144402671546189</v>
      </c>
      <c r="N14" s="18" cm="1">
        <f t="array" ref="N14">FXY(L14,M14)</f>
        <v>18</v>
      </c>
      <c r="O14" s="42">
        <f>M12 + (J14/3) * (N12 + 4*N13 + N14)</f>
        <v>54.38901675913084</v>
      </c>
      <c r="P14" s="29">
        <f t="shared" si="3"/>
        <v>2.6047790083287899E-2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1</v>
      </c>
      <c r="K15" s="10">
        <f t="shared" si="4"/>
        <v>7</v>
      </c>
      <c r="L15" s="11">
        <f t="shared" si="5"/>
        <v>7</v>
      </c>
      <c r="M15" s="11">
        <f>M8+ ((4/3) * J15) * (2*N12 - N13 + 2*N14)</f>
        <v>74.644402879203966</v>
      </c>
      <c r="N15" s="18" cm="1">
        <f t="array" ref="N15">FXY(L15,M15)</f>
        <v>21</v>
      </c>
      <c r="O15" s="43">
        <f>M13 + (J15/3) * (N13 + 4*N14 + N15)</f>
        <v>74.618108339426385</v>
      </c>
      <c r="P15" s="29">
        <f t="shared" si="3"/>
        <v>9.0670826819244459E-4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1</v>
      </c>
      <c r="K16" s="6">
        <f t="shared" si="4"/>
        <v>8</v>
      </c>
      <c r="L16" s="7">
        <f t="shared" si="5"/>
        <v>8</v>
      </c>
      <c r="M16" s="7">
        <f>M12+ ((4/3) * J16) * (2*N13 - N14 + 2*N15)</f>
        <v>96.38901675913084</v>
      </c>
      <c r="N16" s="17" cm="1">
        <f t="array" ref="N16">FXY(L16,M16)</f>
        <v>24</v>
      </c>
      <c r="O16" s="74">
        <f>M14 + (J16/3) * (N14 + 4*N15 + N16)</f>
        <v>97.144402671546189</v>
      </c>
      <c r="P16" s="78">
        <f t="shared" si="3"/>
        <v>-2.6047790083287899E-2</v>
      </c>
    </row>
    <row r="17" spans="2:19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75"/>
      <c r="P17" s="58">
        <f t="shared" si="3"/>
        <v>0</v>
      </c>
    </row>
    <row r="18" spans="2:19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76"/>
      <c r="P18" s="58">
        <f t="shared" si="3"/>
        <v>0</v>
      </c>
    </row>
    <row r="19" spans="2:19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76"/>
      <c r="P19" s="58">
        <f t="shared" si="3"/>
        <v>0</v>
      </c>
    </row>
    <row r="20" spans="2:19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76"/>
      <c r="P20" s="58">
        <f t="shared" si="3"/>
        <v>0</v>
      </c>
    </row>
    <row r="21" spans="2:19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76"/>
      <c r="P21" s="58">
        <f t="shared" si="3"/>
        <v>0</v>
      </c>
    </row>
    <row r="22" spans="2:19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76"/>
      <c r="P22" s="58">
        <f t="shared" si="3"/>
        <v>0</v>
      </c>
    </row>
    <row r="23" spans="2:19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76"/>
      <c r="P23" s="58">
        <f t="shared" si="3"/>
        <v>0</v>
      </c>
    </row>
    <row r="24" spans="2:19" x14ac:dyDescent="0.2">
      <c r="J24" s="29">
        <v>1</v>
      </c>
      <c r="K24" s="9"/>
      <c r="L24" s="5"/>
      <c r="M24" s="5"/>
      <c r="N24" s="18"/>
      <c r="O24" s="76"/>
      <c r="P24" s="58">
        <f t="shared" si="3"/>
        <v>0</v>
      </c>
    </row>
    <row r="25" spans="2:19" x14ac:dyDescent="0.2">
      <c r="J25" s="29">
        <v>1</v>
      </c>
      <c r="K25" s="9"/>
      <c r="L25" s="5"/>
      <c r="M25" s="5"/>
      <c r="N25" s="18"/>
      <c r="O25" s="76"/>
      <c r="P25" s="58">
        <f t="shared" si="3"/>
        <v>0</v>
      </c>
    </row>
    <row r="26" spans="2:19" ht="13.5" thickBot="1" x14ac:dyDescent="0.25">
      <c r="J26" s="29">
        <v>1</v>
      </c>
      <c r="K26" s="9"/>
      <c r="L26" s="5"/>
      <c r="M26" s="5"/>
      <c r="N26" s="18"/>
      <c r="O26" s="76"/>
      <c r="P26" s="58">
        <f t="shared" si="3"/>
        <v>0</v>
      </c>
    </row>
    <row r="27" spans="2:19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/>
      <c r="L27" s="5"/>
      <c r="M27" s="5"/>
      <c r="N27" s="18"/>
      <c r="O27" s="76"/>
      <c r="P27" s="58">
        <f t="shared" si="3"/>
        <v>0</v>
      </c>
    </row>
    <row r="28" spans="2:19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/>
      <c r="L28" s="11"/>
      <c r="M28" s="11"/>
      <c r="N28" s="3"/>
      <c r="O28" s="77"/>
      <c r="P28" s="2">
        <f t="shared" si="3"/>
        <v>0</v>
      </c>
    </row>
    <row r="29" spans="2:19" ht="15" x14ac:dyDescent="0.25">
      <c r="C29" s="83" t="s">
        <v>20</v>
      </c>
      <c r="D29" s="84"/>
      <c r="E29" s="84"/>
      <c r="F29" s="84"/>
      <c r="G29" s="84"/>
      <c r="H29" s="85"/>
    </row>
    <row r="30" spans="2:19" ht="15.75" thickBot="1" x14ac:dyDescent="0.3">
      <c r="C30" s="95" t="s">
        <v>21</v>
      </c>
      <c r="D30" s="96"/>
      <c r="E30" s="96"/>
      <c r="F30" s="96"/>
      <c r="G30" s="96"/>
      <c r="H30" s="97"/>
    </row>
    <row r="31" spans="2:19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9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25.144403086843798</v>
      </c>
      <c r="R32">
        <v>38.644402879204002</v>
      </c>
      <c r="S32">
        <v>54.389016759130797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0</v>
      </c>
      <c r="F33" s="25" cm="1">
        <f t="array" ref="F33">B33*FXY(D33,E33)</f>
        <v>2</v>
      </c>
      <c r="G33" s="25" cm="1">
        <f t="array" ref="G33">B33*FXY(D33+B33,E33+F33)</f>
        <v>3.2706705664732256</v>
      </c>
      <c r="H33" s="26">
        <f>E33+(1/2)*(F33+G33)</f>
        <v>2.6353352832366128</v>
      </c>
      <c r="J33" s="103">
        <v>4</v>
      </c>
      <c r="K33" s="104"/>
      <c r="L33" s="105">
        <v>5</v>
      </c>
      <c r="M33" s="104"/>
      <c r="N33" s="105">
        <v>6</v>
      </c>
      <c r="O33" s="106"/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7">
        <v>2.6181050170455262</v>
      </c>
      <c r="F34" s="27" cm="1">
        <f t="array" ref="F34">B34*FXY(D34,E34)</f>
        <v>3.1458819076204732</v>
      </c>
      <c r="G34" s="27" cm="1">
        <f t="array" ref="G34">B34*FXY(D34+B34,E34+F34)</f>
        <v>6.0000197012855345</v>
      </c>
      <c r="H34" s="28">
        <f t="shared" ref="H34:H36" si="6">E34+(1/2)*(F34+G34)</f>
        <v>7.1910558214985301</v>
      </c>
      <c r="J34" s="107">
        <v>25.144403086843798</v>
      </c>
      <c r="K34" s="108"/>
      <c r="L34" s="109">
        <v>38.644402879204002</v>
      </c>
      <c r="M34" s="108"/>
      <c r="N34" s="109">
        <v>54.389016759130797</v>
      </c>
      <c r="O34" s="110"/>
    </row>
    <row r="35" spans="2:18" ht="15.75" thickBot="1" x14ac:dyDescent="0.3">
      <c r="B35" s="29">
        <v>0.5</v>
      </c>
      <c r="C35" s="29">
        <f>C34+1</f>
        <v>2</v>
      </c>
      <c r="D35" s="29">
        <f t="shared" ref="D35:D36" si="7">D34+B34</f>
        <v>2</v>
      </c>
      <c r="E35" s="29">
        <v>7.1444026715461888</v>
      </c>
      <c r="F35" s="29" cm="1">
        <f t="array" ref="F35">B35*FXY(D35,E35)</f>
        <v>3.0000006229464087</v>
      </c>
      <c r="G35" s="29" cm="1">
        <f t="array" ref="G35">B35*FXY(D35+B35,E35+F35)</f>
        <v>3.7500000000096794</v>
      </c>
      <c r="H35" s="28">
        <f t="shared" si="6"/>
        <v>10.519402983024232</v>
      </c>
      <c r="K35" s="111">
        <f>(L34-J34)/(L33-J33)</f>
        <v>13.499999792360203</v>
      </c>
      <c r="L35" s="112"/>
      <c r="M35" s="111">
        <f>(N34-L34)/(N33-L33)</f>
        <v>15.744613879926796</v>
      </c>
      <c r="N35" s="112"/>
      <c r="O35" s="1"/>
    </row>
    <row r="36" spans="2:18" ht="15.75" thickBot="1" x14ac:dyDescent="0.3">
      <c r="B36" s="29">
        <v>0.5</v>
      </c>
      <c r="C36" s="29">
        <f t="shared" ref="C36" si="8">C35+1</f>
        <v>3</v>
      </c>
      <c r="D36" s="29">
        <f t="shared" si="7"/>
        <v>2.5</v>
      </c>
      <c r="E36" s="29">
        <f t="shared" ref="E36" si="9">H35</f>
        <v>10.519402983024232</v>
      </c>
      <c r="F36" s="29" cm="1">
        <f t="array" ref="F36">B36*FXY(D36,E36)</f>
        <v>3.7500000000037907</v>
      </c>
      <c r="G36" s="29" cm="1">
        <f t="array" ref="G36">B36*FXY(D36+B36,E36+F36)</f>
        <v>4.5</v>
      </c>
      <c r="H36" s="28">
        <f t="shared" si="6"/>
        <v>14.644402983026128</v>
      </c>
      <c r="L36" s="111">
        <f>(N33-J33)/(M35-K35)</f>
        <v>0.89102176230579533</v>
      </c>
      <c r="M36" s="112"/>
    </row>
    <row r="37" spans="2:18" x14ac:dyDescent="0.2">
      <c r="B37" s="29">
        <v>0.5</v>
      </c>
      <c r="C37" s="29">
        <f t="shared" ref="C37" si="10">C36+1</f>
        <v>4</v>
      </c>
      <c r="D37" s="29">
        <f t="shared" ref="D37" si="11">D36+B36</f>
        <v>3</v>
      </c>
      <c r="E37" s="29">
        <f t="shared" ref="E37" si="12">H36</f>
        <v>14.644402983026128</v>
      </c>
      <c r="F37" s="29" cm="1">
        <f t="array" ref="F37">B37*FXY(D37,E37)</f>
        <v>4.5</v>
      </c>
      <c r="G37" s="29" cm="1">
        <f t="array" ref="G37">B37*FXY(D37+B37,E37+F37)</f>
        <v>5.25</v>
      </c>
      <c r="H37" s="28">
        <f t="shared" ref="H37" si="13">E37+(1/2)*(F37+G37)</f>
        <v>19.519402983026126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50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50 = 25.1444030868438 + (13.4999997923602) * (t - 4) + (0.891021762305795) * (t -4) * (t - 5)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44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14.644402983026128</v>
      </c>
      <c r="G53" s="22">
        <v>14.644403294492598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-4.1528862719057236E-7</v>
      </c>
      <c r="D55" s="62" t="s">
        <v>37</v>
      </c>
      <c r="E55" s="60">
        <f>(1/(2^H53 - 1))*(F53-G53)</f>
        <v>-1.0382215679764309E-7</v>
      </c>
      <c r="F55" s="89" t="s">
        <v>38</v>
      </c>
      <c r="G55" s="91"/>
      <c r="H55" s="4">
        <f>G53+C55</f>
        <v>14.644402879203971</v>
      </c>
    </row>
    <row r="63" spans="2:8" x14ac:dyDescent="0.2">
      <c r="B63">
        <v>1.0728977694166877</v>
      </c>
      <c r="C63">
        <v>1.065089981841453</v>
      </c>
      <c r="D63">
        <f>100*((B63-C63)/B63)</f>
        <v>0.72772894098564822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31D6E015-7A6E-4004-BCC2-224FFE2A36D9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553AA-6E63-43B9-B51A-094156DDA5B0}">
  <dimension ref="A1:S55"/>
  <sheetViews>
    <sheetView zoomScale="115" zoomScaleNormal="115" workbookViewId="0">
      <pane xSplit="1" topLeftCell="B1" activePane="topRight" state="frozen"/>
      <selection pane="topRight" activeCell="H58" sqref="H58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3</v>
      </c>
      <c r="L5" s="19">
        <v>3</v>
      </c>
      <c r="M5" s="55">
        <v>63.833378662092123</v>
      </c>
      <c r="N5" s="57" cm="1">
        <f t="array" ref="N5">FXY(L5,M5)</f>
        <v>-15.424153740497516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100</v>
      </c>
      <c r="G6" s="100"/>
      <c r="H6" s="101"/>
      <c r="I6" s="34"/>
      <c r="J6" s="39"/>
      <c r="K6" s="9">
        <v>4</v>
      </c>
      <c r="L6" s="5">
        <v>3.3332999999999999</v>
      </c>
      <c r="M6" s="56">
        <v>58.471135809621707</v>
      </c>
      <c r="N6" s="58" cm="1">
        <f t="array" ref="N6">FXY(L6,M6)</f>
        <v>-16.814879796498055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5</v>
      </c>
      <c r="L7" s="5">
        <v>3.6665999999999999</v>
      </c>
      <c r="M7" s="56">
        <v>52.575190095033051</v>
      </c>
      <c r="N7" s="58" cm="1">
        <f t="array" ref="N7">FXY(L7,M7)</f>
        <v>-18.665356076687257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100</v>
      </c>
      <c r="F8" s="25" cm="1">
        <f t="array" ref="F8">B8*FXY(D8,E8)</f>
        <v>-9.9009900990099009</v>
      </c>
      <c r="G8" s="25" cm="1">
        <f t="array" ref="G8">B8*FXY(D8+B8,E8+F8)</f>
        <v>-10.977067710031518</v>
      </c>
      <c r="H8" s="26">
        <f>E8+(1/2)*(F8+G8)</f>
        <v>89.560971095479289</v>
      </c>
      <c r="I8" s="33"/>
      <c r="J8" s="38"/>
      <c r="K8" s="69">
        <v>6</v>
      </c>
      <c r="L8" s="70">
        <v>3.9998999999999998</v>
      </c>
      <c r="M8" s="71">
        <v>45.94537242593875</v>
      </c>
      <c r="N8" s="72" cm="1">
        <f t="array" ref="N8">FXY(L8,M8)</f>
        <v>-21.30135407015047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89.560971095479289</v>
      </c>
      <c r="F9" s="27" cm="1">
        <f t="array" ref="F9">B9*FXY(D9,E9)</f>
        <v>-11.04228441792757</v>
      </c>
      <c r="G9" s="27" cm="1">
        <f t="array" ref="G9">B9*FXY(D9+B9,E9+F9)</f>
        <v>-12.575660411181087</v>
      </c>
      <c r="H9" s="28">
        <f t="shared" ref="H9:H11" si="0">E9+(1/2)*(F9+G9)</f>
        <v>77.751998680924956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 t="shared" ref="D10:D11" si="1">D9+B9</f>
        <v>2</v>
      </c>
      <c r="E10" s="29">
        <f t="shared" ref="E10:E11" si="2">H9</f>
        <v>77.751998680924956</v>
      </c>
      <c r="F10" s="29" cm="1">
        <f t="array" ref="F10">B10*FXY(D10,E10)</f>
        <v>-12.698090419922467</v>
      </c>
      <c r="G10" s="29" cm="1">
        <f t="array" ref="G10">B10*FXY(D10+B10,E10+F10)</f>
        <v>-15.139149617743197</v>
      </c>
      <c r="H10" s="28">
        <f t="shared" si="0"/>
        <v>63.833378662092123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 t="shared" ref="C11" si="3">C10+1</f>
        <v>3</v>
      </c>
      <c r="D11" s="29">
        <f t="shared" si="1"/>
        <v>3</v>
      </c>
      <c r="E11" s="29">
        <f t="shared" si="2"/>
        <v>63.833378662092123</v>
      </c>
      <c r="F11" s="29" cm="1">
        <f t="array" ref="F11">B11*FXY(D11,E11)</f>
        <v>-15.424153740497516</v>
      </c>
      <c r="G11" s="29" cm="1">
        <f t="array" ref="G11">B11*FXY(D11+B11,E11+F11)</f>
        <v>-20.239135537682635</v>
      </c>
      <c r="H11" s="28">
        <f t="shared" si="0"/>
        <v>46.001734023002044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1</v>
      </c>
      <c r="C12" s="29">
        <f t="shared" ref="C12:C13" si="4">C11+1</f>
        <v>4</v>
      </c>
      <c r="D12" s="29">
        <f t="shared" ref="D12:D13" si="5">D11+B11</f>
        <v>4</v>
      </c>
      <c r="E12" s="29">
        <f t="shared" ref="E12:E13" si="6">H11</f>
        <v>46.001734023002044</v>
      </c>
      <c r="F12" s="29" cm="1">
        <f t="array" ref="F12">B12*FXY(D12,E12)</f>
        <v>-21.275810792653157</v>
      </c>
      <c r="G12" s="29" cm="1">
        <f t="array" ref="G12">B12*FXY(D12+B12,E12+F12)</f>
        <v>-38.87129690336242</v>
      </c>
      <c r="H12" s="28">
        <f t="shared" ref="H12:H13" si="7">E12+(1/2)*(F12+G12)</f>
        <v>15.928180174994253</v>
      </c>
      <c r="I12" s="35"/>
      <c r="J12" s="29">
        <v>0.33329999999999999</v>
      </c>
      <c r="K12" s="6">
        <v>6</v>
      </c>
      <c r="L12" s="12">
        <f>L8+J12</f>
        <v>4.3331999999999997</v>
      </c>
      <c r="M12" s="7">
        <f>M5+ ((4/3) * J12) * (2*N6 - N7 + 2*N8)</f>
        <v>38.250554241894733</v>
      </c>
      <c r="N12" s="8" cm="1">
        <f t="array" ref="N12">FXY(L12,M12)</f>
        <v>-25.477347245523308</v>
      </c>
      <c r="O12" s="8">
        <f>M7 + (J12/3) * (N7 + 4*N8 + N12)</f>
        <v>38.204614007160586</v>
      </c>
      <c r="P12" s="27">
        <f t="shared" ref="P12:P28" si="8">(-1/29) * (O12 - M12)</f>
        <v>1.5841460253154019E-3</v>
      </c>
    </row>
    <row r="13" spans="1:19" x14ac:dyDescent="0.2">
      <c r="A13" s="35"/>
      <c r="B13" s="29">
        <v>1</v>
      </c>
      <c r="C13" s="29">
        <f t="shared" si="4"/>
        <v>5</v>
      </c>
      <c r="D13" s="29">
        <f t="shared" si="5"/>
        <v>5</v>
      </c>
      <c r="E13" s="29">
        <f t="shared" si="6"/>
        <v>15.928180174994253</v>
      </c>
      <c r="F13" s="29" cm="1">
        <f t="array" ref="F13">B13*FXY(D13,E13)</f>
        <v>-59.073095256699055</v>
      </c>
      <c r="G13" s="29" cm="1">
        <f t="array" ref="G13">B13*FXY(D13+B13,E13+F13)</f>
        <v>23.72765487986716</v>
      </c>
      <c r="H13" s="28">
        <f t="shared" si="7"/>
        <v>-1.7445400134216946</v>
      </c>
      <c r="I13" s="35"/>
      <c r="J13" s="29">
        <v>0.33329999999999999</v>
      </c>
      <c r="K13" s="9">
        <f>1+K12</f>
        <v>7</v>
      </c>
      <c r="L13" s="13">
        <f>L12+J12</f>
        <v>4.6665000000000001</v>
      </c>
      <c r="M13" s="5">
        <f>M6+ ((4/3) * J13) * (2*N7 - N8 + 2*N12)</f>
        <v>28.703422845615826</v>
      </c>
      <c r="N13" s="18" cm="1">
        <f t="array" ref="N13">FXY(L13,M13)</f>
        <v>-33.666153735800798</v>
      </c>
      <c r="O13" s="42">
        <f>M8 + (J13/3) * (N8 + 4*N12 + N13)</f>
        <v>28.516349192787008</v>
      </c>
      <c r="P13" s="29">
        <f t="shared" si="8"/>
        <v>6.4508156147868407E-3</v>
      </c>
    </row>
    <row r="14" spans="1:19" x14ac:dyDescent="0.2">
      <c r="A14" s="35"/>
      <c r="B14" s="29">
        <v>1</v>
      </c>
      <c r="C14" s="29">
        <f t="shared" ref="C14" si="9">C13+1</f>
        <v>6</v>
      </c>
      <c r="D14" s="29">
        <f t="shared" ref="D14" si="10">D13+B13</f>
        <v>6</v>
      </c>
      <c r="E14" s="29">
        <f t="shared" ref="E14" si="11">H13</f>
        <v>-1.7445400134216946</v>
      </c>
      <c r="F14" s="29" cm="1">
        <f t="array" ref="F14">B14*FXY(D14,E14)</f>
        <v>1343.1111585316735</v>
      </c>
      <c r="G14" s="29" cm="1">
        <f t="array" ref="G14">B14*FXY(D14+B14,E14+F14)</f>
        <v>-0.74495297052591547</v>
      </c>
      <c r="H14" s="28">
        <f t="shared" ref="H14" si="12">E14+(1/2)*(F14+G14)</f>
        <v>669.43856276715212</v>
      </c>
      <c r="I14" s="35"/>
      <c r="J14" s="29">
        <v>0.33329999999999999</v>
      </c>
      <c r="K14" s="9">
        <f t="shared" ref="K14:K16" si="13">1+K13</f>
        <v>8</v>
      </c>
      <c r="L14" s="5">
        <f t="shared" ref="L14:L16" si="14">L13+J13</f>
        <v>4.9998000000000005</v>
      </c>
      <c r="M14" s="5">
        <f>M7+ ((4/3) * J14) * (2*N8 - N12 + 2*N13)</f>
        <v>15.042202273014126</v>
      </c>
      <c r="N14" s="18" cm="1">
        <f t="array" ref="N14">FXY(L14,M14)</f>
        <v>-62.335581049378746</v>
      </c>
      <c r="O14" s="42">
        <f>M12 + (J14/3) * (N12 + 4*N13 + N14)</f>
        <v>13.533299188141243</v>
      </c>
      <c r="P14" s="29">
        <f t="shared" si="8"/>
        <v>5.2031140857685655E-2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0.33329999999999999</v>
      </c>
      <c r="K15" s="10">
        <f t="shared" si="13"/>
        <v>9</v>
      </c>
      <c r="L15" s="11">
        <f t="shared" si="14"/>
        <v>5.3331000000000008</v>
      </c>
      <c r="M15" s="11">
        <f>M8+ ((4/3) * J15) * (2*N12 - N13 + 2*N14)</f>
        <v>-17.141519522380307</v>
      </c>
      <c r="N15" s="18" cm="1">
        <f t="array" ref="N15">FXY(L15,M15)</f>
        <v>61.952036090127351</v>
      </c>
      <c r="O15" s="43">
        <f>M13 + (J15/3) * (N13 + 4*N14 + N15)</f>
        <v>4.1440521568375992</v>
      </c>
      <c r="P15" s="29">
        <f t="shared" si="8"/>
        <v>-0.73398523031785878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0.33329999999999999</v>
      </c>
      <c r="K16" s="6">
        <f t="shared" si="13"/>
        <v>10</v>
      </c>
      <c r="L16" s="7">
        <f t="shared" si="14"/>
        <v>5.6664000000000012</v>
      </c>
      <c r="M16" s="7">
        <f>M12+ ((4/3) * J16) * (2*N13 - N14 + 2*N15)</f>
        <v>91.092978696764078</v>
      </c>
      <c r="N16" s="17" cm="1">
        <f t="array" ref="N16">FXY(L16,M16)</f>
        <v>-10.85859111249637</v>
      </c>
      <c r="O16" s="74">
        <f>M14 + (J16/3) * (N14 + 4*N15 + N16)</f>
        <v>34.441814584282398</v>
      </c>
      <c r="P16" s="78">
        <f t="shared" si="8"/>
        <v>1.9534884176717822</v>
      </c>
    </row>
    <row r="17" spans="2:19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75"/>
      <c r="P17" s="58">
        <f t="shared" si="8"/>
        <v>0</v>
      </c>
    </row>
    <row r="18" spans="2:19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76"/>
      <c r="P18" s="58">
        <f t="shared" si="8"/>
        <v>0</v>
      </c>
    </row>
    <row r="19" spans="2:19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76"/>
      <c r="P19" s="58">
        <f t="shared" si="8"/>
        <v>0</v>
      </c>
    </row>
    <row r="20" spans="2:19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76"/>
      <c r="P20" s="58">
        <f t="shared" si="8"/>
        <v>0</v>
      </c>
    </row>
    <row r="21" spans="2:19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76"/>
      <c r="P21" s="58">
        <f t="shared" si="8"/>
        <v>0</v>
      </c>
    </row>
    <row r="22" spans="2:19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76"/>
      <c r="P22" s="58">
        <f t="shared" si="8"/>
        <v>0</v>
      </c>
    </row>
    <row r="23" spans="2:19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76"/>
      <c r="P23" s="58">
        <f t="shared" si="8"/>
        <v>0</v>
      </c>
    </row>
    <row r="24" spans="2:19" x14ac:dyDescent="0.2">
      <c r="J24" s="29">
        <v>1</v>
      </c>
      <c r="K24" s="9"/>
      <c r="L24" s="5"/>
      <c r="M24" s="5"/>
      <c r="N24" s="18"/>
      <c r="O24" s="76"/>
      <c r="P24" s="58">
        <f t="shared" si="8"/>
        <v>0</v>
      </c>
    </row>
    <row r="25" spans="2:19" x14ac:dyDescent="0.2">
      <c r="J25" s="29">
        <v>1</v>
      </c>
      <c r="K25" s="9"/>
      <c r="L25" s="5"/>
      <c r="M25" s="5"/>
      <c r="N25" s="18"/>
      <c r="O25" s="76"/>
      <c r="P25" s="58">
        <f t="shared" si="8"/>
        <v>0</v>
      </c>
    </row>
    <row r="26" spans="2:19" ht="13.5" thickBot="1" x14ac:dyDescent="0.25">
      <c r="J26" s="29">
        <v>1</v>
      </c>
      <c r="K26" s="9"/>
      <c r="L26" s="5"/>
      <c r="M26" s="5"/>
      <c r="N26" s="18"/>
      <c r="O26" s="76"/>
      <c r="P26" s="58">
        <f t="shared" si="8"/>
        <v>0</v>
      </c>
    </row>
    <row r="27" spans="2:19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/>
      <c r="L27" s="5"/>
      <c r="M27" s="5"/>
      <c r="N27" s="18"/>
      <c r="O27" s="76"/>
      <c r="P27" s="58">
        <f t="shared" si="8"/>
        <v>0</v>
      </c>
    </row>
    <row r="28" spans="2:19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/>
      <c r="L28" s="11"/>
      <c r="M28" s="11"/>
      <c r="N28" s="3"/>
      <c r="O28" s="77"/>
      <c r="P28" s="2">
        <f t="shared" si="8"/>
        <v>0</v>
      </c>
    </row>
    <row r="29" spans="2:19" ht="15" x14ac:dyDescent="0.25">
      <c r="C29" s="83" t="s">
        <v>20</v>
      </c>
      <c r="D29" s="84"/>
      <c r="E29" s="84"/>
      <c r="F29" s="84"/>
      <c r="G29" s="84"/>
      <c r="H29" s="85"/>
    </row>
    <row r="30" spans="2:19" ht="15.75" thickBot="1" x14ac:dyDescent="0.3">
      <c r="C30" s="95" t="s">
        <v>21</v>
      </c>
      <c r="D30" s="96"/>
      <c r="E30" s="96"/>
      <c r="F30" s="96"/>
      <c r="G30" s="96"/>
      <c r="H30" s="97"/>
    </row>
    <row r="31" spans="2:19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9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P32">
        <v>4.9998000000000005</v>
      </c>
      <c r="Q32">
        <v>13.5332991881412</v>
      </c>
      <c r="S32">
        <v>45.9453724259387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100</v>
      </c>
      <c r="F33" s="25" cm="1">
        <f t="array" ref="F33">B33*FXY(D33,E33)</f>
        <v>-9.9009900990099009</v>
      </c>
      <c r="G33" s="25" cm="1">
        <f t="array" ref="G33">B33*FXY(D33+B33,E33+F33)</f>
        <v>-10.977067710031518</v>
      </c>
      <c r="H33" s="26">
        <f>E33+(1/2)*(F33+G33)</f>
        <v>89.560971095479289</v>
      </c>
      <c r="J33" s="103">
        <v>5</v>
      </c>
      <c r="K33" s="104"/>
      <c r="L33" s="105">
        <v>5.3333000000000004</v>
      </c>
      <c r="M33" s="104"/>
      <c r="N33" s="105">
        <v>5.6665999999999999</v>
      </c>
      <c r="O33" s="106"/>
      <c r="P33">
        <v>5.3331000000000008</v>
      </c>
      <c r="Q33">
        <v>4.1440521568375992</v>
      </c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9">
        <f t="shared" ref="E34:E37" si="15">H33</f>
        <v>89.560971095479289</v>
      </c>
      <c r="F34" s="27" cm="1">
        <f t="array" ref="F34">B34*FXY(D34,E34)</f>
        <v>-11.04228441792757</v>
      </c>
      <c r="G34" s="27" cm="1">
        <f t="array" ref="G34">B34*FXY(D34+B34,E34+F34)</f>
        <v>-12.575660411181087</v>
      </c>
      <c r="H34" s="28">
        <f t="shared" ref="H34:H37" si="16">E34+(1/2)*(F34+G34)</f>
        <v>77.751998680924956</v>
      </c>
      <c r="J34" s="107">
        <v>13.5332991881412</v>
      </c>
      <c r="K34" s="108"/>
      <c r="L34" s="109">
        <v>4.1440521568376001</v>
      </c>
      <c r="M34" s="108"/>
      <c r="N34" s="109">
        <v>34.441814584282398</v>
      </c>
      <c r="O34" s="110"/>
      <c r="P34">
        <v>5.6664000000000012</v>
      </c>
      <c r="Q34">
        <v>34.441814584282398</v>
      </c>
    </row>
    <row r="35" spans="2:18" ht="15.75" thickBot="1" x14ac:dyDescent="0.3">
      <c r="B35" s="29">
        <v>1</v>
      </c>
      <c r="C35" s="29">
        <f>C34+1</f>
        <v>2</v>
      </c>
      <c r="D35" s="29">
        <f t="shared" ref="D35:D37" si="17">D34+B34</f>
        <v>2</v>
      </c>
      <c r="E35" s="29">
        <f t="shared" si="15"/>
        <v>77.751998680924956</v>
      </c>
      <c r="F35" s="29" cm="1">
        <f t="array" ref="F35">B35*FXY(D35,E35)</f>
        <v>-12.698090419922467</v>
      </c>
      <c r="G35" s="29" cm="1">
        <f t="array" ref="G35">B35*FXY(D35+B35,E35+F35)</f>
        <v>-15.139149617743197</v>
      </c>
      <c r="H35" s="28">
        <f t="shared" si="16"/>
        <v>63.833378662092123</v>
      </c>
      <c r="K35" s="111">
        <f>(L34-J34)/(L33-J33)</f>
        <v>-28.170558149725743</v>
      </c>
      <c r="L35" s="112"/>
      <c r="M35" s="111">
        <f>(N34-L34)/(N33-L33)</f>
        <v>90.902377520086546</v>
      </c>
      <c r="N35" s="112"/>
      <c r="O35" s="1"/>
    </row>
    <row r="36" spans="2:18" ht="15.75" thickBot="1" x14ac:dyDescent="0.3">
      <c r="B36" s="29">
        <v>0.33329999999999999</v>
      </c>
      <c r="C36" s="29">
        <f t="shared" ref="C36:C37" si="18">C35+1</f>
        <v>3</v>
      </c>
      <c r="D36" s="29">
        <f t="shared" si="17"/>
        <v>3</v>
      </c>
      <c r="E36" s="29">
        <f t="shared" si="15"/>
        <v>63.833378662092123</v>
      </c>
      <c r="F36" s="29" cm="1">
        <f t="array" ref="F36">B36*FXY(D36,E36)</f>
        <v>-5.1408704417078219</v>
      </c>
      <c r="G36" s="29" cm="1">
        <f t="array" ref="G36">B36*FXY(D36+B36,E36+F36)</f>
        <v>-5.5836152632330158</v>
      </c>
      <c r="H36" s="28">
        <f t="shared" si="16"/>
        <v>58.471135809621707</v>
      </c>
      <c r="L36" s="111">
        <f>(N33-J33)/(M35-K35)</f>
        <v>5.5982494783573073E-3</v>
      </c>
      <c r="M36" s="112"/>
    </row>
    <row r="37" spans="2:18" x14ac:dyDescent="0.2">
      <c r="B37" s="29">
        <v>0.33329999999999999</v>
      </c>
      <c r="C37" s="29">
        <f t="shared" si="18"/>
        <v>4</v>
      </c>
      <c r="D37" s="29">
        <f t="shared" si="17"/>
        <v>3.3332999999999999</v>
      </c>
      <c r="E37" s="29">
        <f t="shared" si="15"/>
        <v>58.471135809621707</v>
      </c>
      <c r="F37" s="29" cm="1">
        <f t="array" ref="F37">B37*FXY(D37,E37)</f>
        <v>-5.6043994361728009</v>
      </c>
      <c r="G37" s="29" cm="1">
        <f t="array" ref="G37">B37*FXY(D37+B37,E37+F37)</f>
        <v>-6.1874919930045111</v>
      </c>
      <c r="H37" s="28">
        <f t="shared" si="16"/>
        <v>52.575190095033051</v>
      </c>
    </row>
    <row r="38" spans="2:18" ht="13.5" thickBot="1" x14ac:dyDescent="0.25">
      <c r="B38" s="29">
        <v>0.33329999999999999</v>
      </c>
      <c r="C38" s="29">
        <f t="shared" ref="C38" si="19">C37+1</f>
        <v>5</v>
      </c>
      <c r="D38" s="29">
        <f t="shared" ref="D38" si="20">D37+B37</f>
        <v>3.6665999999999999</v>
      </c>
      <c r="E38" s="29">
        <f t="shared" ref="E38" si="21">H37</f>
        <v>52.575190095033051</v>
      </c>
      <c r="F38" s="29" cm="1">
        <f t="array" ref="F38">B38*FXY(D38,E38)</f>
        <v>-6.2211631803598619</v>
      </c>
      <c r="G38" s="29" cm="1">
        <f t="array" ref="G38">B38*FXY(D38+B38,E38+F38)</f>
        <v>-7.038472157828739</v>
      </c>
      <c r="H38" s="28">
        <f t="shared" ref="H38" si="22">E38+(1/2)*(F38+G38)</f>
        <v>45.94537242593875</v>
      </c>
    </row>
    <row r="39" spans="2:18" ht="15.75" thickBot="1" x14ac:dyDescent="0.3">
      <c r="B39" s="27">
        <v>0.33329999999999999</v>
      </c>
      <c r="C39" s="27">
        <f t="shared" ref="C39" si="23">C38+1</f>
        <v>6</v>
      </c>
      <c r="D39" s="27">
        <f t="shared" ref="D39" si="24">D38+B38</f>
        <v>3.9998999999999998</v>
      </c>
      <c r="E39" s="27">
        <f t="shared" ref="E39" si="25">H38</f>
        <v>45.94537242593875</v>
      </c>
      <c r="F39" s="27" cm="1">
        <f t="array" ref="F39">B39*FXY(D39,E39)</f>
        <v>-7.0997413115811518</v>
      </c>
      <c r="G39" s="27" cm="1">
        <f t="array" ref="G39">B39*FXY(D39+B39,E39+F39)</f>
        <v>-8.3647815501635208</v>
      </c>
      <c r="H39" s="30">
        <f t="shared" ref="H39" si="26">E39+(1/2)*(F39+G39)</f>
        <v>38.213110995066415</v>
      </c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0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0 = 13.5332991881412 + (-28.1705581497257) * (t - 5) + (0.00559824947835731) * (t -5) * (t - 5.3333)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46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14.644402983026128</v>
      </c>
      <c r="G53" s="22">
        <v>14.644403294492598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-4.1528862719057236E-7</v>
      </c>
      <c r="D55" s="62" t="s">
        <v>37</v>
      </c>
      <c r="E55" s="60">
        <f>(1/(2^H53 - 1))*(F53-G53)</f>
        <v>-1.0382215679764309E-7</v>
      </c>
      <c r="F55" s="89" t="s">
        <v>38</v>
      </c>
      <c r="G55" s="91"/>
      <c r="H55" s="4">
        <f>G53+C55</f>
        <v>14.644402879203971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C0E72B69-E79E-4B5F-8737-D4D51FFF9CF3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196FE-733D-47AD-A133-6BDAA1097E03}">
  <dimension ref="A1:S55"/>
  <sheetViews>
    <sheetView zoomScale="115" zoomScaleNormal="115" workbookViewId="0">
      <pane xSplit="1" topLeftCell="D1" activePane="topRight" state="frozen"/>
      <selection pane="topRight" activeCell="J45" sqref="J45:R45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0</v>
      </c>
      <c r="N5" s="57" cm="1">
        <f t="array" ref="N5">FXY(L5,M5)</f>
        <v>0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0</v>
      </c>
      <c r="G6" s="100"/>
      <c r="H6" s="101"/>
      <c r="I6" s="34"/>
      <c r="J6" s="39"/>
      <c r="K6" s="9">
        <v>1</v>
      </c>
      <c r="L6" s="5">
        <v>0.5</v>
      </c>
      <c r="M6" s="56">
        <v>6.25E-2</v>
      </c>
      <c r="N6" s="58" cm="1">
        <f t="array" ref="N6">FXY(L6,M6)</f>
        <v>0.31062462181643485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1</v>
      </c>
      <c r="M7" s="56">
        <v>0.43942017077391066</v>
      </c>
      <c r="N7" s="58" cm="1">
        <f t="array" ref="N7">FXY(L7,M7)</f>
        <v>1.3642403733141473</v>
      </c>
      <c r="P7" s="37"/>
    </row>
    <row r="8" spans="1:19" ht="15.75" thickBot="1" x14ac:dyDescent="0.3">
      <c r="A8" s="33"/>
      <c r="B8" s="31">
        <v>0.5</v>
      </c>
      <c r="C8" s="25">
        <v>0</v>
      </c>
      <c r="D8" s="25">
        <f>$D$6</f>
        <v>0</v>
      </c>
      <c r="E8" s="25">
        <f>$F$6</f>
        <v>0</v>
      </c>
      <c r="F8" s="25" cm="1">
        <f t="array" ref="F8">B8*FXY(D8,E8)</f>
        <v>0</v>
      </c>
      <c r="G8" s="25" cm="1">
        <f t="array" ref="G8">B8*FXY(D8+B8,E8+F8)</f>
        <v>0.125</v>
      </c>
      <c r="H8" s="26">
        <f>E8+(1/2)*(F8+G8)</f>
        <v>6.25E-2</v>
      </c>
      <c r="I8" s="33"/>
      <c r="J8" s="38"/>
      <c r="K8" s="69">
        <v>3</v>
      </c>
      <c r="L8" s="70">
        <v>1.5</v>
      </c>
      <c r="M8" s="71">
        <v>1.5475584227609218</v>
      </c>
      <c r="N8" s="72" cm="1">
        <f t="array" ref="N8">FXY(L8,M8)</f>
        <v>3.1851354192221093</v>
      </c>
      <c r="P8" s="37"/>
      <c r="S8" s="21"/>
    </row>
    <row r="9" spans="1:19" ht="15.75" thickBot="1" x14ac:dyDescent="0.3">
      <c r="A9" s="34"/>
      <c r="B9" s="27">
        <v>0.5</v>
      </c>
      <c r="C9" s="27">
        <f>C8+1</f>
        <v>1</v>
      </c>
      <c r="D9" s="27">
        <f>D8+B8</f>
        <v>0.5</v>
      </c>
      <c r="E9" s="27">
        <f>H8</f>
        <v>6.25E-2</v>
      </c>
      <c r="F9" s="27" cm="1">
        <f t="array" ref="F9">B9*FXY(D9,E9)</f>
        <v>0.15531231090821743</v>
      </c>
      <c r="G9" s="27" cm="1">
        <f t="array" ref="G9">B9*FXY(D9+B9,E9+F9)</f>
        <v>0.59852803063960391</v>
      </c>
      <c r="H9" s="28">
        <f t="shared" ref="H9:H11" si="0">E9+(1/2)*(F9+G9)</f>
        <v>0.43942017077391066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0.5</v>
      </c>
      <c r="C10" s="29">
        <f>C9+1</f>
        <v>2</v>
      </c>
      <c r="D10" s="29">
        <f t="shared" ref="D10:D11" si="1">D9+B9</f>
        <v>1</v>
      </c>
      <c r="E10" s="29">
        <f t="shared" ref="E10:E11" si="2">H9</f>
        <v>0.43942017077391066</v>
      </c>
      <c r="F10" s="29" cm="1">
        <f t="array" ref="F10">B10*FXY(D10,E10)</f>
        <v>0.68212018665707363</v>
      </c>
      <c r="G10" s="29" cm="1">
        <f t="array" ref="G10">B10*FXY(D10+B10,E10+F10)</f>
        <v>1.5010712042718202</v>
      </c>
      <c r="H10" s="28">
        <f t="shared" si="0"/>
        <v>1.5310158662383575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0.5</v>
      </c>
      <c r="C11" s="29">
        <f t="shared" ref="C11" si="3">C10+1</f>
        <v>3</v>
      </c>
      <c r="D11" s="29">
        <f t="shared" si="1"/>
        <v>1.5</v>
      </c>
      <c r="E11" s="29">
        <f t="shared" si="2"/>
        <v>1.5310158662383575</v>
      </c>
      <c r="F11" s="29" cm="1">
        <f t="array" ref="F11">B11*FXY(D11,E11)</f>
        <v>1.589310375153012</v>
      </c>
      <c r="G11" s="29" cm="1">
        <f t="array" ref="G11">B11*FXY(D11+B11,E11+F11)</f>
        <v>2.707966172515107</v>
      </c>
      <c r="H11" s="28">
        <f t="shared" si="0"/>
        <v>3.679654140072417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/>
      <c r="C12" s="29"/>
      <c r="D12" s="29"/>
      <c r="E12" s="29"/>
      <c r="F12" s="29"/>
      <c r="G12" s="29"/>
      <c r="H12" s="28"/>
      <c r="I12" s="35"/>
      <c r="J12" s="29">
        <v>0.5</v>
      </c>
      <c r="K12" s="6">
        <v>6</v>
      </c>
      <c r="L12" s="12">
        <f>L8+J12</f>
        <v>2</v>
      </c>
      <c r="M12" s="7">
        <f>M5+ ((4/3) * J12) * (2*N6 - N7 + 2*N8)</f>
        <v>3.7515198058419608</v>
      </c>
      <c r="N12" s="8" cm="1">
        <f t="array" ref="N12">FXY(L12,M12)</f>
        <v>5.5584645259951682</v>
      </c>
      <c r="O12" s="8">
        <f>M7 + (J12/3) * (N7 + 4*N8 + N12)</f>
        <v>3.7166279334735357</v>
      </c>
      <c r="P12" s="27">
        <f t="shared" ref="P12:P28" si="4">(-1/29) * (O12 - M12)</f>
        <v>1.2031680127043123E-3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0.5</v>
      </c>
      <c r="K13" s="9">
        <f>1+K12</f>
        <v>7</v>
      </c>
      <c r="L13" s="13">
        <f>L12+J12</f>
        <v>2.5</v>
      </c>
      <c r="M13" s="5">
        <f>M6+ ((4/3) * J13) * (2*N7 - N8 + 2*N12)</f>
        <v>7.1693495862643477</v>
      </c>
      <c r="N13" s="18" cm="1">
        <f t="array" ref="N13">FXY(L13,M13)</f>
        <v>8.3503892956985037</v>
      </c>
      <c r="O13" s="42">
        <f>M8 + (J13/3) * (N8 + 4*N12 + N13)</f>
        <v>7.1757888925778026</v>
      </c>
      <c r="P13" s="29">
        <f t="shared" si="4"/>
        <v>-2.2204504529154851E-4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0.5</v>
      </c>
      <c r="K14" s="9">
        <f t="shared" ref="K14:K16" si="5">1+K13</f>
        <v>8</v>
      </c>
      <c r="L14" s="5">
        <f t="shared" ref="L14:L16" si="6">L13+J13</f>
        <v>3</v>
      </c>
      <c r="M14" s="5">
        <f>M7+ ((4/3) * J14) * (2*N8 - N12 + 2*N13)</f>
        <v>12.114476773337948</v>
      </c>
      <c r="N14" s="18" cm="1">
        <f t="array" ref="N14">FXY(L14,M14)</f>
        <v>11.573716717238053</v>
      </c>
      <c r="O14" s="42">
        <f>M12 + (J14/3) * (N12 + 4*N13 + N14)</f>
        <v>12.173809543513167</v>
      </c>
      <c r="P14" s="29">
        <f t="shared" si="4"/>
        <v>-2.0459575922489345E-3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0.5</v>
      </c>
      <c r="K15" s="10">
        <f t="shared" si="5"/>
        <v>9</v>
      </c>
      <c r="L15" s="11">
        <f t="shared" si="6"/>
        <v>3.5</v>
      </c>
      <c r="M15" s="11">
        <f>M8+ ((4/3) * J15) * (2*N12 - N13 + 2*N14)</f>
        <v>18.823540549939548</v>
      </c>
      <c r="N15" s="18" cm="1">
        <f t="array" ref="N15">FXY(L15,M15)</f>
        <v>15.236870148162375</v>
      </c>
      <c r="O15" s="43">
        <f>M13 + (J15/3) * (N13 + 4*N14 + N15)</f>
        <v>18.81637063839986</v>
      </c>
      <c r="P15" s="29">
        <f t="shared" si="4"/>
        <v>2.4723832895474104E-4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0.5</v>
      </c>
      <c r="K16" s="6">
        <f t="shared" si="5"/>
        <v>10</v>
      </c>
      <c r="L16" s="7">
        <f t="shared" si="6"/>
        <v>4</v>
      </c>
      <c r="M16" s="7">
        <f>M12+ ((4/3) * J16) * (2*N13 - N14 + 2*N15)</f>
        <v>27.485387919497764</v>
      </c>
      <c r="N16" s="17" cm="1">
        <f t="array" ref="N16">FXY(L16,M16)</f>
        <v>19.349391251217646</v>
      </c>
      <c r="O16" s="74">
        <f>M14 + (J16/3) * (N14 + 4*N15 + N16)</f>
        <v>27.426241533522145</v>
      </c>
      <c r="P16" s="78">
        <f t="shared" si="4"/>
        <v>2.0395305508834347E-3</v>
      </c>
    </row>
    <row r="17" spans="2:17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75"/>
      <c r="P17" s="58">
        <f t="shared" si="4"/>
        <v>0</v>
      </c>
    </row>
    <row r="18" spans="2:17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76"/>
      <c r="P18" s="58">
        <f t="shared" si="4"/>
        <v>0</v>
      </c>
    </row>
    <row r="19" spans="2:17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76"/>
      <c r="P19" s="58">
        <f t="shared" si="4"/>
        <v>0</v>
      </c>
    </row>
    <row r="20" spans="2:17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76"/>
      <c r="P20" s="58">
        <f t="shared" si="4"/>
        <v>0</v>
      </c>
    </row>
    <row r="21" spans="2:17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76"/>
      <c r="P21" s="58">
        <f t="shared" si="4"/>
        <v>0</v>
      </c>
    </row>
    <row r="22" spans="2:17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76"/>
      <c r="P22" s="58">
        <f t="shared" si="4"/>
        <v>0</v>
      </c>
    </row>
    <row r="23" spans="2:17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76"/>
      <c r="P23" s="58">
        <f t="shared" si="4"/>
        <v>0</v>
      </c>
    </row>
    <row r="24" spans="2:17" x14ac:dyDescent="0.2">
      <c r="J24" s="29">
        <v>1</v>
      </c>
      <c r="K24" s="9"/>
      <c r="L24" s="5"/>
      <c r="M24" s="5"/>
      <c r="N24" s="18"/>
      <c r="O24" s="76"/>
      <c r="P24" s="58">
        <f t="shared" si="4"/>
        <v>0</v>
      </c>
    </row>
    <row r="25" spans="2:17" x14ac:dyDescent="0.2">
      <c r="J25" s="29">
        <v>1</v>
      </c>
      <c r="K25" s="9"/>
      <c r="L25" s="5"/>
      <c r="M25" s="5"/>
      <c r="N25" s="18"/>
      <c r="O25" s="76"/>
      <c r="P25" s="58">
        <f t="shared" si="4"/>
        <v>0</v>
      </c>
    </row>
    <row r="26" spans="2:17" ht="13.5" thickBot="1" x14ac:dyDescent="0.25">
      <c r="J26" s="29">
        <v>1</v>
      </c>
      <c r="K26" s="9"/>
      <c r="L26" s="5"/>
      <c r="M26" s="5"/>
      <c r="N26" s="18"/>
      <c r="O26" s="76"/>
      <c r="P26" s="58">
        <f t="shared" si="4"/>
        <v>0</v>
      </c>
    </row>
    <row r="27" spans="2:17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/>
      <c r="L27" s="5"/>
      <c r="M27" s="5"/>
      <c r="N27" s="18"/>
      <c r="O27" s="76"/>
      <c r="P27" s="58">
        <f t="shared" si="4"/>
        <v>0</v>
      </c>
    </row>
    <row r="28" spans="2:17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/>
      <c r="L28" s="11"/>
      <c r="M28" s="11"/>
      <c r="N28" s="3"/>
      <c r="O28" s="77"/>
      <c r="P28" s="2">
        <f t="shared" si="4"/>
        <v>0</v>
      </c>
    </row>
    <row r="29" spans="2:17" ht="15" x14ac:dyDescent="0.25">
      <c r="C29" s="83" t="s">
        <v>20</v>
      </c>
      <c r="D29" s="84"/>
      <c r="E29" s="84"/>
      <c r="F29" s="84"/>
      <c r="G29" s="84"/>
      <c r="H29" s="85"/>
    </row>
    <row r="30" spans="2:17" ht="15.75" thickBot="1" x14ac:dyDescent="0.3">
      <c r="C30" s="95" t="s">
        <v>21</v>
      </c>
      <c r="D30" s="96"/>
      <c r="E30" s="96"/>
      <c r="F30" s="96"/>
      <c r="G30" s="96"/>
      <c r="H30" s="97"/>
    </row>
    <row r="31" spans="2:17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7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P32">
        <v>1</v>
      </c>
      <c r="Q32">
        <v>0.43942017077391099</v>
      </c>
    </row>
    <row r="33" spans="2:18" ht="13.5" thickBot="1" x14ac:dyDescent="0.25">
      <c r="B33" s="31">
        <v>0.5</v>
      </c>
      <c r="C33" s="25">
        <v>0</v>
      </c>
      <c r="D33" s="25">
        <f>$D$6</f>
        <v>0</v>
      </c>
      <c r="E33" s="25">
        <f>$F$6</f>
        <v>0</v>
      </c>
      <c r="F33" s="25" cm="1">
        <f t="array" ref="F33">B33*FXY(D33,E33)</f>
        <v>0</v>
      </c>
      <c r="G33" s="25" cm="1">
        <f t="array" ref="G33">B33*FXY(D33+B33,E33+F33)</f>
        <v>0.125</v>
      </c>
      <c r="H33" s="26">
        <f>E33+(1/2)*(F33+G33)</f>
        <v>6.25E-2</v>
      </c>
      <c r="J33" s="103">
        <v>1</v>
      </c>
      <c r="K33" s="104"/>
      <c r="L33" s="105">
        <v>1.5</v>
      </c>
      <c r="M33" s="104"/>
      <c r="N33" s="105">
        <v>2</v>
      </c>
      <c r="O33" s="106"/>
      <c r="P33">
        <v>1.5</v>
      </c>
      <c r="Q33">
        <v>1.54755842276092</v>
      </c>
    </row>
    <row r="34" spans="2:18" ht="13.5" thickBot="1" x14ac:dyDescent="0.25">
      <c r="B34" s="27">
        <v>0.5</v>
      </c>
      <c r="C34" s="27">
        <f>C33+1</f>
        <v>1</v>
      </c>
      <c r="D34" s="27">
        <f>D33+B33</f>
        <v>0.5</v>
      </c>
      <c r="E34" s="29">
        <f>H33</f>
        <v>6.25E-2</v>
      </c>
      <c r="F34" s="27" cm="1">
        <f t="array" ref="F34">B34*FXY(D34,E34)</f>
        <v>0.15531231090821743</v>
      </c>
      <c r="G34" s="27" cm="1">
        <f t="array" ref="G34">B34*FXY(D34+B34,E34+F34)</f>
        <v>0.59852803063960391</v>
      </c>
      <c r="H34" s="28">
        <f t="shared" ref="H34:H37" si="7">E34+(1/2)*(F34+G34)</f>
        <v>0.43942017077391066</v>
      </c>
      <c r="J34" s="107">
        <v>0.43942017077391099</v>
      </c>
      <c r="K34" s="108"/>
      <c r="L34" s="109">
        <v>1.54755842276092</v>
      </c>
      <c r="M34" s="108"/>
      <c r="N34" s="109">
        <v>3.7515198058419599</v>
      </c>
      <c r="O34" s="110"/>
      <c r="P34">
        <v>2</v>
      </c>
      <c r="Q34">
        <v>3.7515198058419599</v>
      </c>
    </row>
    <row r="35" spans="2:18" ht="15.75" thickBot="1" x14ac:dyDescent="0.3">
      <c r="B35" s="29">
        <v>0.25</v>
      </c>
      <c r="C35" s="29">
        <f>C34+1</f>
        <v>2</v>
      </c>
      <c r="D35" s="29">
        <f t="shared" ref="D35:D37" si="8">D34+B34</f>
        <v>1</v>
      </c>
      <c r="E35" s="29">
        <f t="shared" ref="E35:E37" si="9">H34</f>
        <v>0.43942017077391066</v>
      </c>
      <c r="F35" s="29" cm="1">
        <f t="array" ref="F35">B35*FXY(D35,E35)</f>
        <v>0.34106009332853682</v>
      </c>
      <c r="G35" s="29" cm="1">
        <f t="array" ref="G35">B35*FXY(D35+B35,E35+F35)</f>
        <v>0.53484578480124556</v>
      </c>
      <c r="H35" s="28">
        <f t="shared" si="7"/>
        <v>0.87737310983880179</v>
      </c>
      <c r="K35" s="111">
        <f>(L34-J34)/(L33-J33)</f>
        <v>2.2162765039740182</v>
      </c>
      <c r="L35" s="112"/>
      <c r="M35" s="111">
        <f>(N34-L34)/(N33-L33)</f>
        <v>4.4079227661620797</v>
      </c>
      <c r="N35" s="112"/>
      <c r="O35" s="1"/>
    </row>
    <row r="36" spans="2:18" ht="15.75" thickBot="1" x14ac:dyDescent="0.3">
      <c r="B36" s="29">
        <v>0.25</v>
      </c>
      <c r="C36" s="29">
        <f t="shared" ref="C36:C37" si="10">C35+1</f>
        <v>3</v>
      </c>
      <c r="D36" s="29">
        <f t="shared" si="8"/>
        <v>1.25</v>
      </c>
      <c r="E36" s="29">
        <f t="shared" si="9"/>
        <v>0.87737310983880179</v>
      </c>
      <c r="F36" s="29" cm="1">
        <f t="array" ref="F36">B36*FXY(D36,E36)</f>
        <v>0.54809337943310554</v>
      </c>
      <c r="G36" s="29" cm="1">
        <f t="array" ref="G36">B36*FXY(D36+B36,E36+F36)</f>
        <v>0.78400596814985213</v>
      </c>
      <c r="H36" s="28">
        <f t="shared" si="7"/>
        <v>1.5434227836302807</v>
      </c>
      <c r="L36" s="111">
        <f>(N33-J33)/(M35-K35)</f>
        <v>0.45627801221974373</v>
      </c>
      <c r="M36" s="112"/>
    </row>
    <row r="37" spans="2:18" x14ac:dyDescent="0.2">
      <c r="B37" s="29">
        <v>0.5</v>
      </c>
      <c r="C37" s="29">
        <f t="shared" si="10"/>
        <v>4</v>
      </c>
      <c r="D37" s="29">
        <f t="shared" si="8"/>
        <v>1.5</v>
      </c>
      <c r="E37" s="29">
        <f t="shared" si="9"/>
        <v>1.5434227836302807</v>
      </c>
      <c r="F37" s="29" cm="1">
        <f t="array" ref="F37">B37*FXY(D37,E37)</f>
        <v>1.5917553632533112</v>
      </c>
      <c r="G37" s="29" cm="1">
        <f t="array" ref="G37">B37*FXY(D37+B37,E37+F37)</f>
        <v>2.709765205114028</v>
      </c>
      <c r="H37" s="28">
        <f t="shared" si="7"/>
        <v>3.6941830678139502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2.7284807466282901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2.72848074662829 = 0.439420170773911 + (2.21627650397402) * (t - 1) + (0.456278012219744) * (t -1) * (t - 1.5)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47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1.5434227836302807</v>
      </c>
      <c r="G53" s="22">
        <v>1.5310158662383575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1.6542556522564311E-2</v>
      </c>
      <c r="D55" s="62" t="s">
        <v>37</v>
      </c>
      <c r="E55" s="60">
        <f>(1/(2^H53 - 1))*(F53-G53)</f>
        <v>4.1356391306410778E-3</v>
      </c>
      <c r="F55" s="89" t="s">
        <v>38</v>
      </c>
      <c r="G55" s="91"/>
      <c r="H55" s="4">
        <f>G53+C55</f>
        <v>1.5475584227609218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DB793958-2FC8-428A-A848-BC28DF79DE01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AA842-4316-40FD-833D-FEC4A1413DE0}">
  <dimension ref="A1:S55"/>
  <sheetViews>
    <sheetView zoomScale="115" zoomScaleNormal="115" workbookViewId="0">
      <pane xSplit="1" topLeftCell="D1" activePane="topRight" state="frozen"/>
      <selection pane="topRight" activeCell="J45" sqref="J45:R45"/>
    </sheetView>
  </sheetViews>
  <sheetFormatPr baseColWidth="10" defaultColWidth="9.140625" defaultRowHeight="12.75" x14ac:dyDescent="0.2"/>
  <cols>
    <col min="2" max="8" width="14.28515625" customWidth="1"/>
    <col min="13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5000</v>
      </c>
      <c r="N5" s="57" cm="1">
        <f t="array" ref="N5">FXY(L5,M5)</f>
        <v>998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5000</v>
      </c>
      <c r="G6" s="100"/>
      <c r="H6" s="101"/>
      <c r="I6" s="34"/>
      <c r="J6" s="39"/>
      <c r="K6" s="9">
        <v>1</v>
      </c>
      <c r="L6" s="5">
        <v>1</v>
      </c>
      <c r="M6" s="56">
        <v>6097.9224174381097</v>
      </c>
      <c r="N6" s="58" cm="1">
        <f t="array" ref="N6">FXY(L6,M6)</f>
        <v>1217.8293183638414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7437.8719478943576</v>
      </c>
      <c r="N7" s="58" cm="1">
        <f t="array" ref="N7">FXY(L7,M7)</f>
        <v>1486.4937849671353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5000</v>
      </c>
      <c r="F8" s="25" cm="1">
        <f t="array" ref="F8">B8*FXY(D8,E8)</f>
        <v>998</v>
      </c>
      <c r="G8" s="25" cm="1">
        <f t="array" ref="G8">B8*FXY(D8+B8,E8+F8)</f>
        <v>1197.8448348762195</v>
      </c>
      <c r="H8" s="26">
        <f>E8+(1/2)*(F8+G8)</f>
        <v>6097.9224174381097</v>
      </c>
      <c r="I8" s="33"/>
      <c r="J8" s="38"/>
      <c r="K8" s="69">
        <v>3</v>
      </c>
      <c r="L8" s="70">
        <v>3</v>
      </c>
      <c r="M8" s="71">
        <v>9073.4846764624072</v>
      </c>
      <c r="N8" s="72" cm="1">
        <f t="array" ref="N8">FXY(L8,M8)</f>
        <v>1814.5554608891462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6097.9224174381097</v>
      </c>
      <c r="F9" s="27" cm="1">
        <f t="array" ref="F9">B9*FXY(D9,E9)</f>
        <v>1217.8293183638414</v>
      </c>
      <c r="G9" s="27" cm="1">
        <f t="array" ref="G9">B9*FXY(D9+B9,E9+F9)</f>
        <v>1462.0697425486539</v>
      </c>
      <c r="H9" s="28">
        <f t="shared" ref="H9:H11" si="0">E9+(1/2)*(F9+G9)</f>
        <v>7437.8719478943576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 t="shared" ref="D10:D11" si="1">D9+B9</f>
        <v>2</v>
      </c>
      <c r="E10" s="29">
        <f t="shared" ref="E10:E11" si="2">H9</f>
        <v>7437.8719478943576</v>
      </c>
      <c r="F10" s="29" cm="1">
        <f t="array" ref="F10">B10*FXY(D10,E10)</f>
        <v>1486.4937849671353</v>
      </c>
      <c r="G10" s="29" cm="1">
        <f t="array" ref="G10">B10*FXY(D10+B10,E10+F10)</f>
        <v>1784.7316721689633</v>
      </c>
      <c r="H10" s="28">
        <f t="shared" si="0"/>
        <v>9073.4846764624072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 t="shared" ref="C11" si="3">C10+1</f>
        <v>3</v>
      </c>
      <c r="D11" s="29">
        <f t="shared" si="1"/>
        <v>3</v>
      </c>
      <c r="E11" s="29">
        <f t="shared" si="2"/>
        <v>9073.4846764624072</v>
      </c>
      <c r="F11" s="29" cm="1">
        <f t="array" ref="F11">B11*FXY(D11,E11)</f>
        <v>1814.5554608891462</v>
      </c>
      <c r="G11" s="29" cm="1">
        <f t="array" ref="G11">B11*FXY(D11+B11,E11+F11)</f>
        <v>2178.4403211434046</v>
      </c>
      <c r="H11" s="28">
        <f t="shared" si="0"/>
        <v>11069.982567478683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1</v>
      </c>
      <c r="C12" s="29">
        <f t="shared" ref="C12" si="4">C11+1</f>
        <v>4</v>
      </c>
      <c r="D12" s="29">
        <f t="shared" ref="D12" si="5">D11+B11</f>
        <v>4</v>
      </c>
      <c r="E12" s="29">
        <f t="shared" ref="E12" si="6">H11</f>
        <v>11069.982567478683</v>
      </c>
      <c r="F12" s="29" cm="1">
        <f t="array" ref="F12">B12*FXY(D12,E12)</f>
        <v>2214.8288071688307</v>
      </c>
      <c r="G12" s="29" cm="1">
        <f t="array" ref="G12">B12*FXY(D12+B12,E12+F12)</f>
        <v>2658.5645621605968</v>
      </c>
      <c r="H12" s="28">
        <f t="shared" ref="H12" si="7">E12+(1/2)*(F12+G12)</f>
        <v>13506.679252143396</v>
      </c>
      <c r="I12" s="35"/>
      <c r="J12" s="29">
        <v>1</v>
      </c>
      <c r="K12" s="6">
        <v>4</v>
      </c>
      <c r="L12" s="12">
        <f>L8+J12</f>
        <v>4</v>
      </c>
      <c r="M12" s="7">
        <f>M5+ ((4/3) * J12) * (2*N6 - N7 + 2*N8)</f>
        <v>11104.367698051785</v>
      </c>
      <c r="N12" s="8" cm="1">
        <f t="array" ref="N12">FXY(L12,M12)</f>
        <v>2221.7058332834513</v>
      </c>
      <c r="O12" s="8">
        <f>M7 + (J12/3) * (N7 + 4*N8 + N12)</f>
        <v>11093.345768496747</v>
      </c>
      <c r="P12" s="27">
        <f t="shared" ref="P12:P28" si="8">(-1/29) * (O12 - M12)</f>
        <v>0.38006653638061333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>1+K12</f>
        <v>5</v>
      </c>
      <c r="L13" s="13">
        <f>L12+J12</f>
        <v>5</v>
      </c>
      <c r="M13" s="5">
        <f>M6+ ((4/3) * J13) * (2*N7 - N8 + 2*N12)</f>
        <v>13567.047451587479</v>
      </c>
      <c r="N13" s="18" cm="1">
        <f t="array" ref="N13">FXY(L13,M13)</f>
        <v>2715.0117775485896</v>
      </c>
      <c r="O13" s="42">
        <f>M8 + (J13/3) * (N8 + 4*N12 + N13)</f>
        <v>13545.614866986254</v>
      </c>
      <c r="P13" s="29">
        <f t="shared" si="8"/>
        <v>0.73905464142156008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 t="shared" ref="K14:K16" si="9">1+K13</f>
        <v>6</v>
      </c>
      <c r="L14" s="5">
        <f t="shared" ref="L14:L16" si="10">L13+J13</f>
        <v>6</v>
      </c>
      <c r="M14" s="5">
        <f>M7+ ((4/3) * J14) * (2*N8 - N12 + 2*N13)</f>
        <v>16554.443472683717</v>
      </c>
      <c r="N14" s="18" cm="1">
        <f t="array" ref="N14">FXY(L14,M14)</f>
        <v>3312.8686795299445</v>
      </c>
      <c r="O14" s="42">
        <f>M12 + (J14/3) * (N12 + 4*N13 + N14)</f>
        <v>16569.241572387702</v>
      </c>
      <c r="P14" s="29">
        <f t="shared" si="8"/>
        <v>-0.51027930013741096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1</v>
      </c>
      <c r="K15" s="10">
        <f t="shared" si="9"/>
        <v>7</v>
      </c>
      <c r="L15" s="11">
        <f t="shared" si="10"/>
        <v>7</v>
      </c>
      <c r="M15" s="11">
        <f>M8+ ((4/3) * J15) * (2*N12 - N13 + 2*N14)</f>
        <v>20212.334340566675</v>
      </c>
      <c r="N15" s="18" cm="1">
        <f t="array" ref="N15">FXY(L15,M15)</f>
        <v>4044.3397814879168</v>
      </c>
      <c r="O15" s="43">
        <f>M13 + (J15/3) * (N13 + 4*N14 + N15)</f>
        <v>20237.32287730624</v>
      </c>
      <c r="P15" s="29">
        <f t="shared" si="8"/>
        <v>-0.86167368067467109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1</v>
      </c>
      <c r="K16" s="6">
        <f t="shared" si="9"/>
        <v>8</v>
      </c>
      <c r="L16" s="7">
        <f t="shared" si="10"/>
        <v>8</v>
      </c>
      <c r="M16" s="7">
        <f>M12+ ((4/3) * J16) * (2*N13 - N14 + 2*N15)</f>
        <v>24712.14694944254</v>
      </c>
      <c r="N16" s="17" cm="1">
        <f t="array" ref="N16">FXY(L16,M16)</f>
        <v>4943.736677130235</v>
      </c>
      <c r="O16" s="74">
        <f>M14 + (J16/3) * (N14 + 4*N15 + N16)</f>
        <v>24699.098300220998</v>
      </c>
      <c r="P16" s="78">
        <f t="shared" si="8"/>
        <v>0.44995342143249278</v>
      </c>
    </row>
    <row r="17" spans="2:17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/>
      <c r="L17" s="5"/>
      <c r="M17" s="19"/>
      <c r="N17" s="18"/>
      <c r="O17" s="75"/>
      <c r="P17" s="58">
        <f t="shared" si="8"/>
        <v>0</v>
      </c>
    </row>
    <row r="18" spans="2:17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/>
      <c r="L18" s="5"/>
      <c r="M18" s="5"/>
      <c r="N18" s="18"/>
      <c r="O18" s="76"/>
      <c r="P18" s="58">
        <f t="shared" si="8"/>
        <v>0</v>
      </c>
    </row>
    <row r="19" spans="2:17" x14ac:dyDescent="0.2">
      <c r="B19" s="27"/>
      <c r="C19" s="27"/>
      <c r="D19" s="27"/>
      <c r="E19" s="27"/>
      <c r="F19" s="27"/>
      <c r="G19" s="27"/>
      <c r="H19" s="30"/>
      <c r="J19" s="29">
        <v>1</v>
      </c>
      <c r="K19" s="9"/>
      <c r="L19" s="5"/>
      <c r="M19" s="5"/>
      <c r="N19" s="18"/>
      <c r="O19" s="76"/>
      <c r="P19" s="58">
        <f t="shared" si="8"/>
        <v>0</v>
      </c>
    </row>
    <row r="20" spans="2:17" x14ac:dyDescent="0.2">
      <c r="B20" s="29"/>
      <c r="C20" s="29"/>
      <c r="D20" s="29"/>
      <c r="E20" s="29"/>
      <c r="F20" s="29"/>
      <c r="G20" s="29"/>
      <c r="H20" s="28"/>
      <c r="J20" s="29">
        <v>1</v>
      </c>
      <c r="K20" s="9"/>
      <c r="L20" s="5"/>
      <c r="M20" s="5"/>
      <c r="N20" s="18"/>
      <c r="O20" s="76"/>
      <c r="P20" s="58">
        <f t="shared" si="8"/>
        <v>0</v>
      </c>
    </row>
    <row r="21" spans="2:17" x14ac:dyDescent="0.2">
      <c r="B21" s="29"/>
      <c r="C21" s="29"/>
      <c r="D21" s="29"/>
      <c r="E21" s="29"/>
      <c r="F21" s="29"/>
      <c r="G21" s="29"/>
      <c r="H21" s="28"/>
      <c r="J21" s="29">
        <v>1</v>
      </c>
      <c r="K21" s="9"/>
      <c r="L21" s="5"/>
      <c r="M21" s="5"/>
      <c r="N21" s="18"/>
      <c r="O21" s="76"/>
      <c r="P21" s="58">
        <f t="shared" si="8"/>
        <v>0</v>
      </c>
    </row>
    <row r="22" spans="2:17" x14ac:dyDescent="0.2">
      <c r="B22" s="29"/>
      <c r="C22" s="29"/>
      <c r="D22" s="29"/>
      <c r="E22" s="29"/>
      <c r="F22" s="29"/>
      <c r="G22" s="29"/>
      <c r="H22" s="28"/>
      <c r="J22" s="29">
        <v>1</v>
      </c>
      <c r="K22" s="9"/>
      <c r="L22" s="5"/>
      <c r="M22" s="5"/>
      <c r="N22" s="18"/>
      <c r="O22" s="76"/>
      <c r="P22" s="58">
        <f t="shared" si="8"/>
        <v>0</v>
      </c>
    </row>
    <row r="23" spans="2:17" ht="13.5" thickBot="1" x14ac:dyDescent="0.25">
      <c r="B23" s="25"/>
      <c r="C23" s="25"/>
      <c r="D23" s="25"/>
      <c r="E23" s="25"/>
      <c r="F23" s="25"/>
      <c r="G23" s="25"/>
      <c r="H23" s="26"/>
      <c r="J23" s="29">
        <v>1</v>
      </c>
      <c r="K23" s="9"/>
      <c r="L23" s="5"/>
      <c r="M23" s="5"/>
      <c r="N23" s="18"/>
      <c r="O23" s="76"/>
      <c r="P23" s="58">
        <f t="shared" si="8"/>
        <v>0</v>
      </c>
    </row>
    <row r="24" spans="2:17" x14ac:dyDescent="0.2">
      <c r="J24" s="29">
        <v>1</v>
      </c>
      <c r="K24" s="9"/>
      <c r="L24" s="5"/>
      <c r="M24" s="5"/>
      <c r="N24" s="18"/>
      <c r="O24" s="76"/>
      <c r="P24" s="58">
        <f t="shared" si="8"/>
        <v>0</v>
      </c>
    </row>
    <row r="25" spans="2:17" x14ac:dyDescent="0.2">
      <c r="J25" s="29">
        <v>1</v>
      </c>
      <c r="K25" s="9"/>
      <c r="L25" s="5"/>
      <c r="M25" s="5"/>
      <c r="N25" s="18"/>
      <c r="O25" s="76"/>
      <c r="P25" s="58">
        <f t="shared" si="8"/>
        <v>0</v>
      </c>
    </row>
    <row r="26" spans="2:17" ht="13.5" thickBot="1" x14ac:dyDescent="0.25">
      <c r="J26" s="29">
        <v>1</v>
      </c>
      <c r="K26" s="9"/>
      <c r="L26" s="5"/>
      <c r="M26" s="5"/>
      <c r="N26" s="18"/>
      <c r="O26" s="76"/>
      <c r="P26" s="58">
        <f t="shared" si="8"/>
        <v>0</v>
      </c>
    </row>
    <row r="27" spans="2:17" ht="15.75" thickBot="1" x14ac:dyDescent="0.3">
      <c r="C27" s="102" t="s">
        <v>24</v>
      </c>
      <c r="D27" s="87"/>
      <c r="E27" s="87"/>
      <c r="F27" s="87"/>
      <c r="G27" s="87"/>
      <c r="H27" s="88"/>
      <c r="J27" s="29">
        <v>1</v>
      </c>
      <c r="K27" s="9"/>
      <c r="L27" s="5"/>
      <c r="M27" s="5"/>
      <c r="N27" s="18"/>
      <c r="O27" s="76"/>
      <c r="P27" s="58">
        <f t="shared" si="8"/>
        <v>0</v>
      </c>
    </row>
    <row r="28" spans="2:17" ht="15.75" thickBot="1" x14ac:dyDescent="0.3">
      <c r="C28" s="92" t="s">
        <v>19</v>
      </c>
      <c r="D28" s="93"/>
      <c r="E28" s="93"/>
      <c r="F28" s="93"/>
      <c r="G28" s="93"/>
      <c r="H28" s="94"/>
      <c r="J28" s="25">
        <v>1</v>
      </c>
      <c r="K28" s="10"/>
      <c r="L28" s="11"/>
      <c r="M28" s="11"/>
      <c r="N28" s="3"/>
      <c r="O28" s="77"/>
      <c r="P28" s="2">
        <f t="shared" si="8"/>
        <v>0</v>
      </c>
    </row>
    <row r="29" spans="2:17" ht="15" x14ac:dyDescent="0.25">
      <c r="C29" s="83" t="s">
        <v>20</v>
      </c>
      <c r="D29" s="84"/>
      <c r="E29" s="84"/>
      <c r="F29" s="84"/>
      <c r="G29" s="84"/>
      <c r="H29" s="85"/>
    </row>
    <row r="30" spans="2:17" ht="15.75" thickBot="1" x14ac:dyDescent="0.3">
      <c r="C30" s="95" t="s">
        <v>21</v>
      </c>
      <c r="D30" s="96"/>
      <c r="E30" s="96"/>
      <c r="F30" s="96"/>
      <c r="G30" s="96"/>
      <c r="H30" s="97"/>
    </row>
    <row r="31" spans="2:17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7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P32">
        <v>2</v>
      </c>
      <c r="Q32">
        <v>7437.8719478943603</v>
      </c>
    </row>
    <row r="33" spans="2:18" ht="13.5" thickBot="1" x14ac:dyDescent="0.25">
      <c r="B33" s="31">
        <v>0.5</v>
      </c>
      <c r="C33" s="25">
        <v>0</v>
      </c>
      <c r="D33" s="25">
        <f>$D$6</f>
        <v>0</v>
      </c>
      <c r="E33" s="25">
        <f>$F$6</f>
        <v>5000</v>
      </c>
      <c r="F33" s="25" cm="1">
        <f t="array" ref="F33">B33*FXY(D33,E33)</f>
        <v>499</v>
      </c>
      <c r="G33" s="25" cm="1">
        <f t="array" ref="G33">B33*FXY(D33+B33,E33+F33)</f>
        <v>548.93108757828929</v>
      </c>
      <c r="H33" s="26">
        <f>E33+(1/2)*(F33+G33)</f>
        <v>5523.9655437891452</v>
      </c>
      <c r="J33" s="103">
        <v>2</v>
      </c>
      <c r="K33" s="104"/>
      <c r="L33" s="105">
        <v>3</v>
      </c>
      <c r="M33" s="104"/>
      <c r="N33" s="105">
        <v>4</v>
      </c>
      <c r="O33" s="106"/>
      <c r="P33">
        <v>3</v>
      </c>
      <c r="Q33">
        <v>9073.4846764624108</v>
      </c>
    </row>
    <row r="34" spans="2:18" ht="13.5" thickBot="1" x14ac:dyDescent="0.25">
      <c r="B34" s="27">
        <v>0.5</v>
      </c>
      <c r="C34" s="27">
        <f>C33+1</f>
        <v>1</v>
      </c>
      <c r="D34" s="27">
        <f>D33+B33</f>
        <v>0.5</v>
      </c>
      <c r="E34" s="29">
        <f>H33</f>
        <v>5523.9655437891452</v>
      </c>
      <c r="F34" s="27" cm="1">
        <f t="array" ref="F34">B34*FXY(D34,E34)</f>
        <v>551.42764195720383</v>
      </c>
      <c r="G34" s="27" cm="1">
        <f t="array" ref="G34">B34*FXY(D34+B34,E34+F34)</f>
        <v>606.66173601274454</v>
      </c>
      <c r="H34" s="28">
        <f t="shared" ref="H34:H37" si="11">E34+(1/2)*(F34+G34)</f>
        <v>6103.0102327741197</v>
      </c>
      <c r="J34" s="107">
        <v>7437.8719478943603</v>
      </c>
      <c r="K34" s="108"/>
      <c r="L34" s="109">
        <v>9073.4846764624108</v>
      </c>
      <c r="M34" s="108"/>
      <c r="N34" s="109">
        <v>11093.3457684967</v>
      </c>
      <c r="O34" s="110"/>
      <c r="P34">
        <v>4</v>
      </c>
      <c r="Q34">
        <v>11093.3457684967</v>
      </c>
    </row>
    <row r="35" spans="2:18" ht="15.75" thickBot="1" x14ac:dyDescent="0.3">
      <c r="B35" s="29">
        <v>0.25</v>
      </c>
      <c r="C35" s="29">
        <f>C34+1</f>
        <v>2</v>
      </c>
      <c r="D35" s="29">
        <f t="shared" ref="D35:D37" si="12">D34+B34</f>
        <v>1</v>
      </c>
      <c r="E35" s="29">
        <f t="shared" ref="E35:E37" si="13">H34</f>
        <v>6103.0102327741197</v>
      </c>
      <c r="F35" s="29" cm="1">
        <f t="array" ref="F35">B35*FXY(D35,E35)</f>
        <v>304.71172035776084</v>
      </c>
      <c r="G35" s="29" cm="1">
        <f t="array" ref="G35">B35*FXY(D35+B35,E35+F35)</f>
        <v>319.98061609684146</v>
      </c>
      <c r="H35" s="28">
        <f t="shared" si="11"/>
        <v>6415.3564010014206</v>
      </c>
      <c r="K35" s="111">
        <f>(L34-J34)/(L33-J33)</f>
        <v>1635.6127285680504</v>
      </c>
      <c r="L35" s="112"/>
      <c r="M35" s="111">
        <f>(N34-L34)/(N33-L33)</f>
        <v>2019.861092034289</v>
      </c>
      <c r="N35" s="112"/>
      <c r="O35" s="1"/>
    </row>
    <row r="36" spans="2:18" ht="15.75" thickBot="1" x14ac:dyDescent="0.3">
      <c r="B36" s="29">
        <v>0.25</v>
      </c>
      <c r="C36" s="29">
        <f t="shared" ref="C36:C37" si="14">C35+1</f>
        <v>3</v>
      </c>
      <c r="D36" s="29">
        <f t="shared" si="12"/>
        <v>1.25</v>
      </c>
      <c r="E36" s="29">
        <f t="shared" si="13"/>
        <v>6415.3564010014206</v>
      </c>
      <c r="F36" s="29" cm="1">
        <f t="array" ref="F36">B36*FXY(D36,E36)</f>
        <v>320.36233849031845</v>
      </c>
      <c r="G36" s="29" cm="1">
        <f t="array" ref="G36">B36*FXY(D36+B36,E36+F36)</f>
        <v>336.42009254015011</v>
      </c>
      <c r="H36" s="28">
        <f t="shared" si="11"/>
        <v>6743.7476165166554</v>
      </c>
      <c r="L36" s="111">
        <f>(N33-J33)/(M35-K35)</f>
        <v>5.2049668655927209E-3</v>
      </c>
      <c r="M36" s="112"/>
    </row>
    <row r="37" spans="2:18" x14ac:dyDescent="0.2">
      <c r="B37" s="29">
        <v>0.5</v>
      </c>
      <c r="C37" s="29">
        <f t="shared" si="14"/>
        <v>4</v>
      </c>
      <c r="D37" s="29">
        <f t="shared" si="12"/>
        <v>1.5</v>
      </c>
      <c r="E37" s="29">
        <f t="shared" si="13"/>
        <v>6743.7476165166554</v>
      </c>
      <c r="F37" s="29" cm="1">
        <f t="array" ref="F37">B37*FXY(D37,E37)</f>
        <v>673.64307278279182</v>
      </c>
      <c r="G37" s="29" cm="1">
        <f t="array" ref="G37">B37*FXY(D37+B37,E37+F37)</f>
        <v>741.1987666240766</v>
      </c>
      <c r="H37" s="28">
        <f t="shared" si="11"/>
        <v>7451.1685362200897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10000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10000 = 7437.87194789436 + (1635.61272856805) * (t - 2) + (0.00520496686559272) * (t -2) * (t - 3)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48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1.5434227836302807</v>
      </c>
      <c r="G53" s="22">
        <v>1.5310158662383575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1.6542556522564311E-2</v>
      </c>
      <c r="D55" s="62" t="s">
        <v>37</v>
      </c>
      <c r="E55" s="60">
        <f>(1/(2^H53 - 1))*(F53-G53)</f>
        <v>4.1356391306410778E-3</v>
      </c>
      <c r="F55" s="89" t="s">
        <v>38</v>
      </c>
      <c r="G55" s="91"/>
      <c r="H55" s="4">
        <f>G53+C55</f>
        <v>1.5475584227609218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9E768446-8638-448A-A0BE-0D9DE4BBFC26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BDBC-0A31-451D-BD8A-BBC0AD8AB10D}">
  <dimension ref="A1:S55"/>
  <sheetViews>
    <sheetView zoomScaleNormal="100" workbookViewId="0">
      <pane xSplit="1" topLeftCell="C1" activePane="topRight" state="frozen"/>
      <selection pane="topRight" activeCell="C8" sqref="C8:H23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1</v>
      </c>
      <c r="L5" s="19">
        <v>0.5</v>
      </c>
      <c r="M5" s="55">
        <v>-8.3570644929534872</v>
      </c>
      <c r="N5" s="57" cm="1">
        <f t="array" ref="N5">FXY(L5,M5)</f>
        <v>3.4582084998623897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-10</v>
      </c>
      <c r="G6" s="100"/>
      <c r="H6" s="101"/>
      <c r="I6" s="34"/>
      <c r="J6" s="39"/>
      <c r="K6" s="9">
        <v>2</v>
      </c>
      <c r="L6" s="5">
        <v>1</v>
      </c>
      <c r="M6" s="56">
        <v>-6.5662676912786928</v>
      </c>
      <c r="N6" s="57" cm="1">
        <f t="array" ref="N6">FXY(L6,M6)</f>
        <v>3.7049787068367861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3</v>
      </c>
      <c r="L7" s="5">
        <v>1.5</v>
      </c>
      <c r="M7" s="56">
        <v>-4.6767680799839386</v>
      </c>
      <c r="N7" s="57" cm="1">
        <f t="array" ref="N7">FXY(L7,M7)</f>
        <v>3.853019738342232</v>
      </c>
      <c r="P7" s="37"/>
    </row>
    <row r="8" spans="1:19" ht="15.75" thickBot="1" x14ac:dyDescent="0.3">
      <c r="A8" s="33"/>
      <c r="B8" s="31">
        <v>0.5</v>
      </c>
      <c r="C8" s="25">
        <v>0</v>
      </c>
      <c r="D8" s="25">
        <f>$D$6</f>
        <v>0</v>
      </c>
      <c r="E8" s="25">
        <f>$F$6</f>
        <v>-10</v>
      </c>
      <c r="F8" s="25" cm="1">
        <f t="array" ref="F8">B8*FXY(D8,E8)</f>
        <v>1.5567667641618304</v>
      </c>
      <c r="G8" s="25" cm="1">
        <f t="array" ref="G8">B8*FXY(D8+B8,E8+F8)</f>
        <v>1.7291042499311948</v>
      </c>
      <c r="H8" s="26">
        <f>E8+(1/2)*(F8+G8)</f>
        <v>-8.3570644929534872</v>
      </c>
      <c r="I8" s="33"/>
      <c r="J8" s="38"/>
      <c r="K8" s="69">
        <v>4</v>
      </c>
      <c r="L8" s="70">
        <v>2</v>
      </c>
      <c r="M8" s="71">
        <v>-2.738055254426162</v>
      </c>
      <c r="N8" s="57" cm="1">
        <f t="array" ref="N8">FXY(L8,M8)</f>
        <v>3.9018315638888734</v>
      </c>
      <c r="P8" s="37"/>
      <c r="S8" s="21"/>
    </row>
    <row r="9" spans="1:19" ht="15.75" thickBot="1" x14ac:dyDescent="0.3">
      <c r="A9" s="34"/>
      <c r="B9" s="27">
        <v>0.5</v>
      </c>
      <c r="C9" s="27">
        <f>C8+1</f>
        <v>1</v>
      </c>
      <c r="D9" s="27">
        <f>D8+B8</f>
        <v>0.5</v>
      </c>
      <c r="E9" s="27">
        <f>H8</f>
        <v>-8.3570644929534872</v>
      </c>
      <c r="F9" s="27" cm="1">
        <f t="array" ref="F9">B9*FXY(D9,E9)</f>
        <v>1.7291042499311948</v>
      </c>
      <c r="G9" s="27" cm="1">
        <f t="array" ref="G9">B9*FXY(D9+B9,E9+F9)</f>
        <v>1.852489353418393</v>
      </c>
      <c r="H9" s="28">
        <f t="shared" ref="H9:H11" si="0">E9+(1/2)*(F9+G9)</f>
        <v>-6.5662676912786928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0.5</v>
      </c>
      <c r="C10" s="29">
        <f>C9+1</f>
        <v>2</v>
      </c>
      <c r="D10" s="29">
        <f t="shared" ref="D10:D11" si="1">D9+B9</f>
        <v>1</v>
      </c>
      <c r="E10" s="29">
        <f t="shared" ref="E10:E11" si="2">H9</f>
        <v>-6.5662676912786928</v>
      </c>
      <c r="F10" s="29" cm="1">
        <f t="array" ref="F10">B10*FXY(D10,E10)</f>
        <v>1.852489353418393</v>
      </c>
      <c r="G10" s="29" cm="1">
        <f t="array" ref="G10">B10*FXY(D10+B10,E10+F10)</f>
        <v>1.926509869171116</v>
      </c>
      <c r="H10" s="28">
        <f t="shared" si="0"/>
        <v>-4.6767680799839386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0.5</v>
      </c>
      <c r="C11" s="29">
        <f t="shared" ref="C11" si="3">C10+1</f>
        <v>3</v>
      </c>
      <c r="D11" s="29">
        <f t="shared" si="1"/>
        <v>1.5</v>
      </c>
      <c r="E11" s="29">
        <f t="shared" si="2"/>
        <v>-4.6767680799839386</v>
      </c>
      <c r="F11" s="29" cm="1">
        <f t="array" ref="F11">B11*FXY(D11,E11)</f>
        <v>1.926509869171116</v>
      </c>
      <c r="G11" s="29" cm="1">
        <f t="array" ref="G11">B11*FXY(D11+B11,E11+F11)</f>
        <v>1.9509157819444367</v>
      </c>
      <c r="H11" s="28">
        <f t="shared" si="0"/>
        <v>-2.738055254426162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0.5</v>
      </c>
      <c r="C12" s="29">
        <f t="shared" ref="C12" si="4">C11+1</f>
        <v>4</v>
      </c>
      <c r="D12" s="29">
        <f t="shared" ref="D12" si="5">D11+B11</f>
        <v>2</v>
      </c>
      <c r="E12" s="29">
        <f t="shared" ref="E12" si="6">H11</f>
        <v>-2.738055254426162</v>
      </c>
      <c r="F12" s="29" cm="1">
        <f t="array" ref="F12">B12*FXY(D12,E12)</f>
        <v>1.9509157819444367</v>
      </c>
      <c r="G12" s="29" cm="1">
        <f t="array" ref="G12">B12*FXY(D12+B12,E12+F12)</f>
        <v>1.9255554498269121</v>
      </c>
      <c r="H12" s="28">
        <f t="shared" ref="H12" si="7">E12+(1/2)*(F12+G12)</f>
        <v>-0.79981963854048765</v>
      </c>
      <c r="I12" s="35"/>
      <c r="J12" s="29">
        <v>0.5</v>
      </c>
      <c r="K12" s="6">
        <v>5</v>
      </c>
      <c r="L12" s="12">
        <f>L8+J12</f>
        <v>2.5</v>
      </c>
      <c r="M12" s="7">
        <f>M5+ ((4/3) * J12) * (2*N6 - N7 + 2*N8)</f>
        <v>-0.78333062421409672</v>
      </c>
      <c r="N12" s="8" cm="1">
        <f t="array" ref="N12">GXY(L12,M12)</f>
        <v>3.7033341594559674</v>
      </c>
      <c r="O12" s="8">
        <f>M7 + (J12/3) * (N7 + 4*N8 + N12)</f>
        <v>-0.81615472109165665</v>
      </c>
      <c r="P12" s="27">
        <f t="shared" ref="P12:P15" si="8">(-1/29) * (O12 - M12)</f>
        <v>1.1318654095710324E-3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0.5</v>
      </c>
      <c r="K13" s="9">
        <f>1+K12</f>
        <v>6</v>
      </c>
      <c r="L13" s="13">
        <f>L12+J12</f>
        <v>3</v>
      </c>
      <c r="M13" s="5">
        <f>M6+ ((4/3) * J13) * (2*N7 - N8 + 2*N12)</f>
        <v>0.90764979652632327</v>
      </c>
      <c r="N13" s="18" cm="1">
        <f t="array" ref="N13">GXY(L13,M13)</f>
        <v>4.1804178303020159</v>
      </c>
      <c r="O13" s="42">
        <f>M8 + (J13/3) * (N8 + 4*N12 + N13)</f>
        <v>1.0778757509096311</v>
      </c>
      <c r="P13" s="29">
        <f t="shared" si="8"/>
        <v>-5.8698604959761301E-3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0.5</v>
      </c>
      <c r="K14" s="9">
        <f t="shared" ref="K14:K18" si="9">1+K13</f>
        <v>7</v>
      </c>
      <c r="L14" s="5">
        <f t="shared" ref="L14:L15" si="10">L13+J13</f>
        <v>3.5</v>
      </c>
      <c r="M14" s="5">
        <f>M7+ ((4/3) * J14) * (2*N8 - N12 + 2*N13)</f>
        <v>3.6306750059666015</v>
      </c>
      <c r="N14" s="18" cm="1">
        <f t="array" ref="N14">GXY(L14,M14)</f>
        <v>3.8826391987722739</v>
      </c>
      <c r="O14" s="42">
        <f>M12 + (J14/3) * (N12 + 4*N13 + N14)</f>
        <v>3.2679434890252868</v>
      </c>
      <c r="P14" s="29">
        <f t="shared" si="8"/>
        <v>1.2507983342803957E-2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0.5</v>
      </c>
      <c r="K15" s="10">
        <f t="shared" si="9"/>
        <v>8</v>
      </c>
      <c r="L15" s="11">
        <f t="shared" si="10"/>
        <v>4</v>
      </c>
      <c r="M15" s="11">
        <f>M8+ ((4/3) * J15) * (2*N12 - N13 + 2*N14)</f>
        <v>4.589630669676815</v>
      </c>
      <c r="N15" s="18" cm="1">
        <f t="array" ref="N15">GXY(L15,M15)</f>
        <v>3.9553071964805273</v>
      </c>
      <c r="O15" s="43">
        <f>M13 + (J15/3) * (N13 + 4*N14 + N15)</f>
        <v>4.8520301001715955</v>
      </c>
      <c r="P15" s="29">
        <f t="shared" si="8"/>
        <v>-9.0482562239579487E-3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0.5</v>
      </c>
      <c r="K16" s="6">
        <f t="shared" si="9"/>
        <v>9</v>
      </c>
      <c r="L16" s="7">
        <f t="shared" ref="L16:L17" si="11">L15+J15</f>
        <v>4.5</v>
      </c>
      <c r="M16" s="7">
        <f>M12+ ((4/3) * J16) * (2*N13 - N14 + 2*N15)</f>
        <v>7.475876612314444</v>
      </c>
      <c r="N16" s="17" cm="1">
        <f t="array" ref="N16">GXY(L16,M16)</f>
        <v>3.9618604357471807</v>
      </c>
      <c r="O16" s="74">
        <f t="shared" ref="O16:O17" si="12">M14 + (J16/3) * (N14 + 4*N15 + N16)</f>
        <v>7.5749630760401949</v>
      </c>
      <c r="P16" s="78">
        <f t="shared" ref="P16:P17" si="13">(-1/29) * (O16 - M16)</f>
        <v>-3.4167746112327901E-3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0.5</v>
      </c>
      <c r="K17" s="9">
        <f t="shared" si="9"/>
        <v>10</v>
      </c>
      <c r="L17" s="5">
        <f t="shared" si="11"/>
        <v>5</v>
      </c>
      <c r="M17" s="19">
        <f>M13+ ((4/3) * J17) * (2*N14 - N15 + 2*N16)</f>
        <v>8.7301111782319119</v>
      </c>
      <c r="N17" s="18" cm="1">
        <f t="array" ref="N17">GXY(L17,M17)</f>
        <v>3.9890655660996455</v>
      </c>
      <c r="O17" s="75">
        <f t="shared" si="12"/>
        <v>8.55493308727163</v>
      </c>
      <c r="P17" s="58">
        <f t="shared" si="13"/>
        <v>6.0406238262166135E-3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0.5</v>
      </c>
      <c r="K18" s="9">
        <f t="shared" si="9"/>
        <v>11</v>
      </c>
      <c r="L18" s="5">
        <f t="shared" ref="L18" si="14">L17+J17</f>
        <v>5.5</v>
      </c>
      <c r="M18" s="5">
        <f t="shared" ref="M18" si="15">M14+ ((4/3) * J18) * (2*N15 - N16 + 2*N17)</f>
        <v>11.581931732242044</v>
      </c>
      <c r="N18" s="18" cm="1">
        <f t="array" ref="N18">GXY(L18,M18)</f>
        <v>3.9957014652285059</v>
      </c>
      <c r="O18" s="76">
        <f t="shared" ref="O18" si="16">M16 + (J18/3) * (N16 + 4*N17 + N18)</f>
        <v>11.461513973210156</v>
      </c>
      <c r="P18" s="58">
        <f t="shared" ref="P18" si="17">(-1/29) * (O18 - M18)</f>
        <v>4.1523365183409582E-3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4.5</v>
      </c>
      <c r="R32">
        <v>7.4758766123144396</v>
      </c>
    </row>
    <row r="33" spans="2:18" ht="13.5" thickBot="1" x14ac:dyDescent="0.25">
      <c r="B33" s="31">
        <v>0.5</v>
      </c>
      <c r="C33" s="25">
        <v>0</v>
      </c>
      <c r="D33" s="25">
        <f>$D$6</f>
        <v>0</v>
      </c>
      <c r="E33" s="25">
        <f>$F$6</f>
        <v>-10</v>
      </c>
      <c r="F33" s="25" cm="1">
        <f t="array" ref="F33">B33*FXY(D33,E33)</f>
        <v>1.5567667641618304</v>
      </c>
      <c r="G33" s="25" cm="1">
        <f t="array" ref="G33">B33*FXY(D33+B33,E33+F33)</f>
        <v>1.7291042499311948</v>
      </c>
      <c r="H33" s="26">
        <f>E33+(1/2)*(F33+G33)</f>
        <v>-8.3570644929534872</v>
      </c>
      <c r="J33" s="103">
        <v>4.5</v>
      </c>
      <c r="K33" s="104"/>
      <c r="L33" s="105">
        <v>5</v>
      </c>
      <c r="M33" s="104"/>
      <c r="N33" s="105">
        <v>5.5</v>
      </c>
      <c r="O33" s="106"/>
      <c r="Q33">
        <v>5</v>
      </c>
      <c r="R33">
        <v>8.7301111782319101</v>
      </c>
    </row>
    <row r="34" spans="2:18" ht="13.5" thickBot="1" x14ac:dyDescent="0.25">
      <c r="B34" s="27">
        <v>0.5</v>
      </c>
      <c r="C34" s="27">
        <f>C33+1</f>
        <v>1</v>
      </c>
      <c r="D34" s="27">
        <f>D33+B33</f>
        <v>0.5</v>
      </c>
      <c r="E34" s="29">
        <f>H33</f>
        <v>-8.3570644929534872</v>
      </c>
      <c r="F34" s="27" cm="1">
        <f t="array" ref="F34">B34*FXY(D34,E34)</f>
        <v>1.7291042499311948</v>
      </c>
      <c r="G34" s="27" cm="1">
        <f t="array" ref="G34">B34*FXY(D34+B34,E34+F34)</f>
        <v>1.852489353418393</v>
      </c>
      <c r="H34" s="28">
        <f t="shared" ref="H34:H37" si="18">E34+(1/2)*(F34+G34)</f>
        <v>-6.5662676912786928</v>
      </c>
      <c r="J34" s="107">
        <v>7.4758766123144396</v>
      </c>
      <c r="K34" s="108"/>
      <c r="L34" s="109">
        <v>8.7301111782319101</v>
      </c>
      <c r="M34" s="108"/>
      <c r="N34" s="109">
        <v>11.581931732241999</v>
      </c>
      <c r="O34" s="110"/>
      <c r="Q34">
        <v>5.5</v>
      </c>
      <c r="R34">
        <v>11.581931732241999</v>
      </c>
    </row>
    <row r="35" spans="2:18" ht="15.75" thickBot="1" x14ac:dyDescent="0.3">
      <c r="B35" s="29">
        <v>0.25</v>
      </c>
      <c r="C35" s="29">
        <f>C34+1</f>
        <v>2</v>
      </c>
      <c r="D35" s="29">
        <f t="shared" ref="D35:D37" si="19">D34+B34</f>
        <v>1</v>
      </c>
      <c r="E35" s="29">
        <f t="shared" ref="E35:E37" si="20">H34</f>
        <v>-6.5662676912786928</v>
      </c>
      <c r="F35" s="29" cm="1">
        <f t="array" ref="F35">B35*FXY(D35,E35)</f>
        <v>0.92624467670919652</v>
      </c>
      <c r="G35" s="29" cm="1">
        <f t="array" ref="G35">B35*FXY(D35+B35,E35+F35)</f>
        <v>0.94784435519579302</v>
      </c>
      <c r="H35" s="28">
        <f t="shared" si="18"/>
        <v>-5.6292231753261976</v>
      </c>
      <c r="K35" s="111">
        <f>(L34-J34)/(L33-J33)</f>
        <v>2.508469131834941</v>
      </c>
      <c r="L35" s="112"/>
      <c r="M35" s="111">
        <f>(N34-L34)/(N33-L33)</f>
        <v>5.7036411080201788</v>
      </c>
      <c r="N35" s="112"/>
      <c r="O35" s="1"/>
    </row>
    <row r="36" spans="2:18" ht="15.75" thickBot="1" x14ac:dyDescent="0.3">
      <c r="B36" s="29">
        <v>0.25</v>
      </c>
      <c r="C36" s="29">
        <f t="shared" ref="C36:C37" si="21">C35+1</f>
        <v>3</v>
      </c>
      <c r="D36" s="29">
        <f t="shared" si="19"/>
        <v>1.25</v>
      </c>
      <c r="E36" s="29">
        <f t="shared" si="20"/>
        <v>-5.6292231753261976</v>
      </c>
      <c r="F36" s="29" cm="1">
        <f t="array" ref="F36">B36*FXY(D36,E36)</f>
        <v>0.94784435519579302</v>
      </c>
      <c r="G36" s="29" cm="1">
        <f t="array" ref="G36">B36*FXY(D36+B36,E36+F36)</f>
        <v>0.963254934585558</v>
      </c>
      <c r="H36" s="28">
        <f t="shared" si="18"/>
        <v>-4.6736735304355221</v>
      </c>
      <c r="L36" s="111">
        <f>(N33-J33)/(M35-K35)</f>
        <v>0.31297219913461888</v>
      </c>
      <c r="M36" s="112"/>
    </row>
    <row r="37" spans="2:18" x14ac:dyDescent="0.2">
      <c r="B37" s="29">
        <v>0.5</v>
      </c>
      <c r="C37" s="29">
        <f t="shared" si="21"/>
        <v>4</v>
      </c>
      <c r="D37" s="29">
        <f t="shared" si="19"/>
        <v>1.5</v>
      </c>
      <c r="E37" s="29">
        <f t="shared" si="20"/>
        <v>-4.6736735304355221</v>
      </c>
      <c r="F37" s="29" cm="1">
        <f t="array" ref="F37">B37*FXY(D37,E37)</f>
        <v>1.926509869171116</v>
      </c>
      <c r="G37" s="29" cm="1">
        <f t="array" ref="G37">B37*FXY(D37+B37,E37+F37)</f>
        <v>1.9509157819444367</v>
      </c>
      <c r="H37" s="28">
        <f t="shared" si="18"/>
        <v>-2.7349607048777456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-10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-10 = 7.47587661231444 + (2.50846913183494) * (t - 4.5) + (0.312972199134619) * (t -4.5) * (t - 5)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t="s">
        <v>49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1.5434227836302807</v>
      </c>
      <c r="G53" s="22">
        <v>1.5310158662383575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1.6542556522564311E-2</v>
      </c>
      <c r="D55" s="62" t="s">
        <v>37</v>
      </c>
      <c r="E55" s="60">
        <f>(1/(2^H53 - 1))*(F53-G53)</f>
        <v>4.1356391306410778E-3</v>
      </c>
      <c r="F55" s="89" t="s">
        <v>38</v>
      </c>
      <c r="G55" s="91"/>
      <c r="H55" s="4">
        <f>G53+C55</f>
        <v>1.5475584227609218</v>
      </c>
    </row>
  </sheetData>
  <mergeCells count="31"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79B54E1C-0E48-406E-8091-5EC44B15765C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8B9E8-9705-4940-B9AB-28BE71D20D94}">
  <dimension ref="A1:S55"/>
  <sheetViews>
    <sheetView zoomScaleNormal="100" workbookViewId="0">
      <pane xSplit="1" topLeftCell="B1" activePane="topRight" state="frozen"/>
      <selection pane="topRight" activeCell="K55" sqref="K55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1</v>
      </c>
      <c r="L5" s="19">
        <v>0.5</v>
      </c>
      <c r="M5" s="55">
        <v>3.1296094485408767</v>
      </c>
      <c r="N5" s="57" cm="1">
        <f t="array" ref="N5">FXY(L5,M5)</f>
        <v>3.0324093400997412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1.5</v>
      </c>
      <c r="G6" s="100"/>
      <c r="H6" s="101"/>
      <c r="I6" s="34"/>
      <c r="J6" s="39"/>
      <c r="K6" s="9">
        <v>2</v>
      </c>
      <c r="L6" s="5">
        <v>1</v>
      </c>
      <c r="M6" s="56">
        <v>4.5932329587126945</v>
      </c>
      <c r="N6" s="57" cm="1">
        <f t="array" ref="N6">FXY(L6,M6)</f>
        <v>2.5068645475305908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3</v>
      </c>
      <c r="L7" s="5">
        <v>1.5</v>
      </c>
      <c r="M7" s="56">
        <v>5.6774089932917517</v>
      </c>
      <c r="N7" s="57" cm="1">
        <f t="array" ref="N7">FXY(L7,M7)</f>
        <v>2.1628406399722202</v>
      </c>
      <c r="P7" s="37"/>
    </row>
    <row r="8" spans="1:19" ht="15.75" thickBot="1" x14ac:dyDescent="0.3">
      <c r="A8" s="33"/>
      <c r="B8" s="31">
        <v>0.5</v>
      </c>
      <c r="C8" s="25">
        <v>0</v>
      </c>
      <c r="D8" s="25">
        <f>$D$6</f>
        <v>0</v>
      </c>
      <c r="E8" s="25">
        <f>$F$6</f>
        <v>1.5</v>
      </c>
      <c r="F8" s="25" cm="1">
        <f t="array" ref="F8">B8*FXY(D8,E8)</f>
        <v>1.767898038307403</v>
      </c>
      <c r="G8" s="25" cm="1">
        <f t="array" ref="G8">B8*FXY(D8+B8,E8+F8)</f>
        <v>1.4913208587743503</v>
      </c>
      <c r="H8" s="26">
        <f>E8+(1/2)*(F8+G8)</f>
        <v>3.1296094485408767</v>
      </c>
      <c r="I8" s="33"/>
      <c r="J8" s="38"/>
      <c r="K8" s="69">
        <v>4</v>
      </c>
      <c r="L8" s="70">
        <v>2</v>
      </c>
      <c r="M8" s="71">
        <v>6.7516909368495064</v>
      </c>
      <c r="N8" s="57" cm="1">
        <f t="array" ref="N8">FXY(L8,M8)</f>
        <v>1.8897108208743287</v>
      </c>
      <c r="P8" s="37"/>
      <c r="S8" s="21"/>
    </row>
    <row r="9" spans="1:19" ht="15.75" thickBot="1" x14ac:dyDescent="0.3">
      <c r="A9" s="34"/>
      <c r="B9" s="27">
        <v>0.5</v>
      </c>
      <c r="C9" s="27">
        <f>C8+1</f>
        <v>1</v>
      </c>
      <c r="D9" s="27">
        <f>D8+B8</f>
        <v>0.5</v>
      </c>
      <c r="E9" s="27">
        <f>H8</f>
        <v>3.1296094485408767</v>
      </c>
      <c r="F9" s="27" cm="1">
        <f t="array" ref="F9">B9*FXY(D9,E9)</f>
        <v>1.5162046700498706</v>
      </c>
      <c r="G9" s="27" cm="1">
        <f t="array" ref="G9">B9*FXY(D9+B9,E9+F9)</f>
        <v>1.244426859313466</v>
      </c>
      <c r="H9" s="28">
        <f t="shared" ref="H9:H12" si="0">E9+(1/2)*(F9+G9)</f>
        <v>4.5099252132225445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0.5</v>
      </c>
      <c r="C10" s="29">
        <f>C9+1</f>
        <v>2</v>
      </c>
      <c r="D10" s="29">
        <f t="shared" ref="D10:D12" si="1">D9+B9</f>
        <v>1</v>
      </c>
      <c r="E10" s="29">
        <f t="shared" ref="E10:E12" si="2">H9</f>
        <v>4.5099252132225445</v>
      </c>
      <c r="F10" s="29" cm="1">
        <f t="array" ref="F10">B10*FXY(D10,E10)</f>
        <v>1.2678116768221539</v>
      </c>
      <c r="G10" s="29" cm="1">
        <f t="array" ref="G10">B10*FXY(D10+B10,E10+F10)</f>
        <v>1.0671558833162611</v>
      </c>
      <c r="H10" s="28">
        <f t="shared" si="0"/>
        <v>5.6774089932917517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0.5</v>
      </c>
      <c r="C11" s="29">
        <f t="shared" ref="C11:C12" si="3">C10+1</f>
        <v>3</v>
      </c>
      <c r="D11" s="29">
        <f t="shared" si="1"/>
        <v>1.5</v>
      </c>
      <c r="E11" s="29">
        <f t="shared" si="2"/>
        <v>5.6774089932917517</v>
      </c>
      <c r="F11" s="29" cm="1">
        <f t="array" ref="F11">B11*FXY(D11,E11)</f>
        <v>1.0814203199861101</v>
      </c>
      <c r="G11" s="29" cm="1">
        <f t="array" ref="G11">B11*FXY(D11+B11,E11+F11)</f>
        <v>0.94406774472145094</v>
      </c>
      <c r="H11" s="28">
        <f t="shared" si="0"/>
        <v>6.6901530256455324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0.5</v>
      </c>
      <c r="C12" s="29">
        <f t="shared" si="3"/>
        <v>4</v>
      </c>
      <c r="D12" s="29">
        <f t="shared" si="1"/>
        <v>2</v>
      </c>
      <c r="E12" s="29">
        <f t="shared" si="2"/>
        <v>6.6901530256455324</v>
      </c>
      <c r="F12" s="29" cm="1">
        <f t="array" ref="F12">B12*FXY(D12,E12)</f>
        <v>0.95171055374619506</v>
      </c>
      <c r="G12" s="29" cm="1">
        <f t="array" ref="G12">B12*FXY(D12+B12,E12+F12)</f>
        <v>0.85832218534381677</v>
      </c>
      <c r="H12" s="28">
        <f t="shared" si="0"/>
        <v>7.5951693951905384</v>
      </c>
      <c r="I12" s="35"/>
      <c r="J12" s="29">
        <v>0.5</v>
      </c>
      <c r="K12" s="6">
        <v>5</v>
      </c>
      <c r="L12" s="12">
        <f>L8+J12</f>
        <v>2.5</v>
      </c>
      <c r="M12" s="7">
        <f>M5+ ((4/3) * J12) * (2*N6 - N7 + 2*N8)</f>
        <v>7.5498161797659558</v>
      </c>
      <c r="N12" s="8" cm="1">
        <f t="array" ref="N12">FXY(L12,M12)</f>
        <v>1.7324265638660603</v>
      </c>
      <c r="O12" s="8">
        <f>M7 + (J12/3) * (N7 + 4*N8 + N12)</f>
        <v>7.5864274078476841</v>
      </c>
      <c r="P12" s="27">
        <f t="shared" ref="P12:P18" si="4">(-1/29) * (O12 - M12)</f>
        <v>-1.2624561407492531E-3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0.5</v>
      </c>
      <c r="K13" s="9">
        <f>1+K12</f>
        <v>6</v>
      </c>
      <c r="L13" s="13">
        <f>L12+J12</f>
        <v>3</v>
      </c>
      <c r="M13" s="5">
        <f>M6+ ((4/3) * J13) * (2*N7 - N8 + 2*N12)</f>
        <v>8.5271153499141832</v>
      </c>
      <c r="N13" s="42" cm="1">
        <f t="array" ref="N13">FXY(L13,M13)</f>
        <v>1.5874181401416583</v>
      </c>
      <c r="O13" s="42">
        <f>M8 + (J13/3) * (N8 + 4*N12 + N13)</f>
        <v>8.4861634729295439</v>
      </c>
      <c r="P13" s="29">
        <f t="shared" si="4"/>
        <v>1.4121336891254935E-3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0.5</v>
      </c>
      <c r="K14" s="9">
        <f t="shared" ref="K14:K18" si="5">1+K13</f>
        <v>7</v>
      </c>
      <c r="L14" s="5">
        <f t="shared" ref="L14:L18" si="6">L13+J13</f>
        <v>3.5</v>
      </c>
      <c r="M14" s="5">
        <f>M7+ ((4/3) * J14) * (2*N8 - N12 + 2*N13)</f>
        <v>9.1586298987356933</v>
      </c>
      <c r="N14" s="42" cm="1">
        <f t="array" ref="N14">FXY(L14,M14)</f>
        <v>1.5176126745157412</v>
      </c>
      <c r="O14" s="42">
        <f>M12 + (J14/3) * (N12 + 4*N13 + N14)</f>
        <v>9.1497681462573617</v>
      </c>
      <c r="P14" s="29">
        <f t="shared" si="4"/>
        <v>3.0557767166660869E-4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0.5</v>
      </c>
      <c r="K15" s="10">
        <f t="shared" si="5"/>
        <v>8</v>
      </c>
      <c r="L15" s="11">
        <f t="shared" si="6"/>
        <v>4</v>
      </c>
      <c r="M15" s="11">
        <f>M8+ ((4/3) * J15) * (2*N12 - N13 + 2*N14)</f>
        <v>10.026797827930803</v>
      </c>
      <c r="N15" s="11" cm="1">
        <f t="array" ref="N15">FXY(L15,M15)</f>
        <v>1.4470275535339454</v>
      </c>
      <c r="O15" s="43">
        <f>M13 + (J15/3) * (N13 + 4*N14 + N15)</f>
        <v>10.04459808187061</v>
      </c>
      <c r="P15" s="29">
        <f t="shared" si="4"/>
        <v>-6.1380185999335244E-4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0.5</v>
      </c>
      <c r="K16" s="6">
        <f t="shared" si="5"/>
        <v>9</v>
      </c>
      <c r="L16" s="7">
        <f t="shared" si="6"/>
        <v>4.5</v>
      </c>
      <c r="M16" s="7">
        <f>M12+ ((4/3) * J16) * (2*N13 - N14 + 2*N15)</f>
        <v>10.584001988322933</v>
      </c>
      <c r="N16" s="7" cm="1">
        <f t="array" ref="N16">FXY(L16,M16)</f>
        <v>1.414912650143336</v>
      </c>
      <c r="O16" s="74">
        <f t="shared" ref="O16:O18" si="7">M14 + (J16/3) * (N14 + 4*N15 + N16)</f>
        <v>10.612069155201503</v>
      </c>
      <c r="P16" s="78">
        <f t="shared" si="4"/>
        <v>-9.6783334064033427E-4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0.5</v>
      </c>
      <c r="K17" s="9">
        <f t="shared" si="5"/>
        <v>10</v>
      </c>
      <c r="L17" s="5">
        <f t="shared" si="6"/>
        <v>5</v>
      </c>
      <c r="M17" s="19">
        <f>M13+ ((4/3) * J17) * (2*N14 - N15 + 2*N16)</f>
        <v>11.472464080436989</v>
      </c>
      <c r="N17" s="19" cm="1">
        <f t="array" ref="N17">FXY(L17,M17)</f>
        <v>1.381807873344562</v>
      </c>
      <c r="O17" s="75">
        <f t="shared" si="7"/>
        <v>11.441545499172779</v>
      </c>
      <c r="P17" s="58">
        <f t="shared" si="4"/>
        <v>1.0661579746279268E-3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0.5</v>
      </c>
      <c r="K18" s="9">
        <f t="shared" si="5"/>
        <v>11</v>
      </c>
      <c r="L18" s="5">
        <f t="shared" si="6"/>
        <v>5.5</v>
      </c>
      <c r="M18" s="5">
        <f t="shared" ref="M18" si="8">M14+ ((4/3) * J18) * (2*N15 - N16 + 2*N17)</f>
        <v>11.987135367811479</v>
      </c>
      <c r="N18" s="5" cm="1">
        <f t="array" ref="N18">FXY(L18,M18)</f>
        <v>1.3717500671318228</v>
      </c>
      <c r="O18" s="76">
        <f t="shared" si="7"/>
        <v>11.969651023431835</v>
      </c>
      <c r="P18" s="58">
        <f t="shared" si="4"/>
        <v>6.0290842688429005E-4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2</v>
      </c>
      <c r="R32">
        <v>6.7516909368495099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1.5</v>
      </c>
      <c r="F33" s="25" cm="1">
        <f t="array" ref="F33">B33*FXY(D33,E33)</f>
        <v>3.535796076614806</v>
      </c>
      <c r="G33" s="25" cm="1">
        <f t="array" ref="G33">B33*FXY(D33+B33,E33+F33)</f>
        <v>2.3590927315950574</v>
      </c>
      <c r="H33" s="26">
        <f>E33+(1/2)*(F33+G33)</f>
        <v>4.4474444041049317</v>
      </c>
      <c r="J33" s="103">
        <v>2</v>
      </c>
      <c r="K33" s="104"/>
      <c r="L33" s="105">
        <v>2.5</v>
      </c>
      <c r="M33" s="104"/>
      <c r="N33" s="105">
        <v>3</v>
      </c>
      <c r="O33" s="106"/>
      <c r="Q33">
        <v>2.5</v>
      </c>
      <c r="R33">
        <v>7.5498161797659602</v>
      </c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9">
        <f>H33</f>
        <v>4.4474444041049317</v>
      </c>
      <c r="F34" s="27" cm="1">
        <f t="array" ref="F34">B34*FXY(D34,E34)</f>
        <v>2.5573626192883978</v>
      </c>
      <c r="G34" s="27" cm="1">
        <f t="array" ref="G34">B34*FXY(D34+B34,E34+F34)</f>
        <v>1.835747756986843</v>
      </c>
      <c r="H34" s="28">
        <f t="shared" ref="H34" si="9">E34+(1/2)*(F34+G34)</f>
        <v>6.6439995922425519</v>
      </c>
      <c r="J34" s="107">
        <v>6.7516909368495099</v>
      </c>
      <c r="K34" s="108"/>
      <c r="L34" s="109">
        <v>7.5498161797659602</v>
      </c>
      <c r="M34" s="108"/>
      <c r="N34" s="109">
        <v>8.5271153499141796</v>
      </c>
      <c r="O34" s="110"/>
      <c r="Q34">
        <v>3</v>
      </c>
      <c r="R34">
        <v>8.5271153499141796</v>
      </c>
    </row>
    <row r="35" spans="2:18" ht="15.75" thickBot="1" x14ac:dyDescent="0.3">
      <c r="B35" s="29">
        <v>1</v>
      </c>
      <c r="C35" s="29">
        <f>C34+1</f>
        <v>2</v>
      </c>
      <c r="D35" s="29">
        <f>D34+B34</f>
        <v>2</v>
      </c>
      <c r="E35" s="29">
        <f>H34</f>
        <v>6.6439995922425519</v>
      </c>
      <c r="F35" s="29" cm="1">
        <f t="array" ref="F35">B35*FXY(D35,E35)</f>
        <v>1.9138568905362532</v>
      </c>
      <c r="G35" s="29" cm="1">
        <f t="array" ref="G35">B35*FXY(D35+B35,E35+F35)</f>
        <v>1.5836172034654228</v>
      </c>
      <c r="H35" s="28">
        <f t="shared" ref="H35" si="10">E35+(1/2)*(F35+G35)</f>
        <v>8.39273663924339</v>
      </c>
      <c r="K35" s="111">
        <f>(L34-J34)/(L33-J33)</f>
        <v>1.5962504858329005</v>
      </c>
      <c r="L35" s="112"/>
      <c r="M35" s="111">
        <f>(N34-L34)/(N33-L33)</f>
        <v>1.9545983402964389</v>
      </c>
      <c r="N35" s="112"/>
      <c r="O35" s="1"/>
    </row>
    <row r="36" spans="2:18" ht="15.75" thickBot="1" x14ac:dyDescent="0.3">
      <c r="B36" s="29"/>
      <c r="C36" s="29"/>
      <c r="D36" s="29"/>
      <c r="E36" s="29"/>
      <c r="F36" s="29"/>
      <c r="G36" s="29"/>
      <c r="H36" s="28"/>
      <c r="L36" s="111">
        <f>(N33-J33)/(M35-K35)</f>
        <v>2.7905845885335121</v>
      </c>
      <c r="M36" s="112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8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8 = 6.75169093684951 + (1.5962504858329) * (t - 2) + (2.79058458853351) * (t -2) * (t - 2.5)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s="82" t="s">
        <v>50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4.5099252132225445</v>
      </c>
      <c r="G53" s="22">
        <v>4.4474444041049317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8.3307745490150367E-2</v>
      </c>
      <c r="D55" s="62" t="s">
        <v>37</v>
      </c>
      <c r="E55" s="60">
        <f>(1/(2^H53 - 1))*(F53-G53)</f>
        <v>2.0826936372537592E-2</v>
      </c>
      <c r="F55" s="89" t="s">
        <v>38</v>
      </c>
      <c r="G55" s="91"/>
      <c r="H55" s="4">
        <f>F53+C55</f>
        <v>4.5932329587126945</v>
      </c>
    </row>
  </sheetData>
  <mergeCells count="31">
    <mergeCell ref="C29:H29"/>
    <mergeCell ref="C2:H2"/>
    <mergeCell ref="K2:N2"/>
    <mergeCell ref="C3:H3"/>
    <mergeCell ref="K3:N3"/>
    <mergeCell ref="C4:H4"/>
    <mergeCell ref="C5:H5"/>
    <mergeCell ref="B6:B7"/>
    <mergeCell ref="G6:H6"/>
    <mergeCell ref="K9:O9"/>
    <mergeCell ref="C27:H27"/>
    <mergeCell ref="C28:H28"/>
    <mergeCell ref="C30:H30"/>
    <mergeCell ref="B31:B32"/>
    <mergeCell ref="G31:H31"/>
    <mergeCell ref="J32:O32"/>
    <mergeCell ref="J33:K33"/>
    <mergeCell ref="L33:M33"/>
    <mergeCell ref="N33:O33"/>
    <mergeCell ref="F55:G55"/>
    <mergeCell ref="J34:K34"/>
    <mergeCell ref="L34:M34"/>
    <mergeCell ref="N34:O34"/>
    <mergeCell ref="K35:L35"/>
    <mergeCell ref="M35:N35"/>
    <mergeCell ref="L36:M36"/>
    <mergeCell ref="J39:N39"/>
    <mergeCell ref="O39:P39"/>
    <mergeCell ref="Q39:R39"/>
    <mergeCell ref="J40:R40"/>
    <mergeCell ref="B51:H51"/>
  </mergeCells>
  <hyperlinks>
    <hyperlink ref="J46" r:id="rId1" xr:uid="{B2FF3CC2-C09C-4BA2-A91C-D90F5C337BEA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C0DC-B040-47DD-8BBC-FBFCC437C679}">
  <dimension ref="A1:S55"/>
  <sheetViews>
    <sheetView zoomScaleNormal="100" workbookViewId="0">
      <pane xSplit="1" topLeftCell="C1" activePane="topRight" state="frozen"/>
      <selection pane="topRight" activeCell="J45" sqref="J45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30</v>
      </c>
      <c r="N5" s="57" cm="1">
        <f t="array" ref="N5">FXY(L5,M5)</f>
        <v>20.08329091229351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30</v>
      </c>
      <c r="G6" s="100"/>
      <c r="H6" s="101"/>
      <c r="I6" s="34"/>
      <c r="J6" s="39"/>
      <c r="K6" s="9">
        <v>1</v>
      </c>
      <c r="L6" s="5">
        <v>1</v>
      </c>
      <c r="M6" s="56">
        <v>50.088014809999997</v>
      </c>
      <c r="N6" s="57" cm="1">
        <f t="array" ref="N6">FXY(L6,M6)</f>
        <v>20.191664272915585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70.279477679999999</v>
      </c>
      <c r="N7" s="57" cm="1">
        <f t="array" ref="N7">FXY(L7,M7)</f>
        <v>20.299428634017957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30</v>
      </c>
      <c r="F8" s="25" cm="1">
        <f t="array" ref="F8">B8*FXY(D8,E8)</f>
        <v>20.08329091229351</v>
      </c>
      <c r="G8" s="25" cm="1">
        <f t="array" ref="G8">B8*FXY(D8+B8,E8+F8)</f>
        <v>20.191662384003667</v>
      </c>
      <c r="H8" s="26">
        <f>E8+(1/2)*(F8+G8)</f>
        <v>50.137476648148592</v>
      </c>
      <c r="I8" s="33"/>
      <c r="J8" s="38"/>
      <c r="K8" s="69">
        <v>3</v>
      </c>
      <c r="L8" s="70">
        <v>3</v>
      </c>
      <c r="M8" s="56">
        <v>90.574227329999999</v>
      </c>
      <c r="N8" s="57" cm="1">
        <f t="array" ref="N8">FXY(L8,M8)</f>
        <v>20.40666888734312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50.137476648148592</v>
      </c>
      <c r="F9" s="27" cm="1">
        <f t="array" ref="F9">B9*FXY(D9,E9)</f>
        <v>20.191684048732355</v>
      </c>
      <c r="G9" s="27" cm="1">
        <f t="array" ref="G9">B9*FXY(D9+B9,E9+F9)</f>
        <v>20.299447014418675</v>
      </c>
      <c r="H9" s="28">
        <f t="shared" ref="H9:H12" si="0">E9+(1/2)*(F9+G9)</f>
        <v>70.3830421797241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 t="shared" ref="D10:D12" si="1">D9+B9</f>
        <v>2</v>
      </c>
      <c r="E10" s="29">
        <f t="shared" ref="E10:E12" si="2">H9</f>
        <v>70.3830421797241</v>
      </c>
      <c r="F10" s="29" cm="1">
        <f t="array" ref="F10">B10*FXY(D10,E10)</f>
        <v>20.299466944238173</v>
      </c>
      <c r="G10" s="29" cm="1">
        <f t="array" ref="G10">B10*FXY(D10+B10,E10+F10)</f>
        <v>20.406706145163433</v>
      </c>
      <c r="H10" s="28">
        <f t="shared" si="0"/>
        <v>90.736128724424901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 t="shared" ref="C11:C12" si="3">C10+1</f>
        <v>3</v>
      </c>
      <c r="D11" s="29">
        <f t="shared" si="1"/>
        <v>3</v>
      </c>
      <c r="E11" s="29">
        <f t="shared" si="2"/>
        <v>90.736128724424901</v>
      </c>
      <c r="F11" s="29" cm="1">
        <f t="array" ref="F11">B11*FXY(D11,E11)</f>
        <v>20.406724589567215</v>
      </c>
      <c r="G11" s="29" cm="1">
        <f t="array" ref="G11">B11*FXY(D11+B11,E11+F11)</f>
        <v>20.513508195614367</v>
      </c>
      <c r="H11" s="28">
        <f t="shared" si="0"/>
        <v>111.19624511701569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1</v>
      </c>
      <c r="C12" s="29">
        <f t="shared" si="3"/>
        <v>4</v>
      </c>
      <c r="D12" s="29">
        <f t="shared" si="1"/>
        <v>4</v>
      </c>
      <c r="E12" s="29">
        <f t="shared" si="2"/>
        <v>111.19624511701569</v>
      </c>
      <c r="F12" s="29" cm="1">
        <f t="array" ref="F12">B12*FXY(D12,E12)</f>
        <v>20.513525354042397</v>
      </c>
      <c r="G12" s="29" cm="1">
        <f t="array" ref="G12">B12*FXY(D12+B12,E12+F12)</f>
        <v>20.619909021527743</v>
      </c>
      <c r="H12" s="28">
        <f t="shared" si="0"/>
        <v>131.76296230480077</v>
      </c>
      <c r="I12" s="35"/>
      <c r="J12" s="29">
        <v>1</v>
      </c>
      <c r="K12" s="6">
        <v>5</v>
      </c>
      <c r="L12" s="12">
        <f>L8+J12</f>
        <v>4</v>
      </c>
      <c r="M12" s="7">
        <f>M5+ ((4/3) * J12) * (2*N6 - N7 + 2*N8)</f>
        <v>111.1963169153326</v>
      </c>
      <c r="N12" s="8" cm="1">
        <f t="array" ref="N12">FXY(L12,M12)</f>
        <v>20.513525377114114</v>
      </c>
      <c r="O12" s="8">
        <f>M7 + (J12/3) * (N7 + 4*N8 + N12)</f>
        <v>111.09268753350152</v>
      </c>
      <c r="P12" s="27">
        <f t="shared" ref="P12:P18" si="4">(-1/29) * (O12 - M12)</f>
        <v>3.5734269596925461E-3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>1+K12</f>
        <v>6</v>
      </c>
      <c r="L13" s="13">
        <f>L12+J12</f>
        <v>5</v>
      </c>
      <c r="M13" s="5">
        <f>M6+ ((4/3) * J13) * (2*N7 - N8 + 2*N12)</f>
        <v>131.7136669898947</v>
      </c>
      <c r="N13" s="42" cm="1">
        <f t="array" ref="N13">FXY(L13,M13)</f>
        <v>20.619910196197981</v>
      </c>
      <c r="O13" s="42">
        <f>M8 + (J13/3) * (N8 + 4*N12 + N13)</f>
        <v>131.60112086066584</v>
      </c>
      <c r="P13" s="29">
        <f t="shared" si="4"/>
        <v>3.8809010078917428E-3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 t="shared" ref="K14:K18" si="5">1+K13</f>
        <v>7</v>
      </c>
      <c r="L14" s="5">
        <f t="shared" ref="L14:L18" si="6">L13+J13</f>
        <v>6</v>
      </c>
      <c r="M14" s="5">
        <f>M7+ ((4/3) * J14) * (2*N8 - N12 + 2*N13)</f>
        <v>152.33232139995744</v>
      </c>
      <c r="N14" s="42" cm="1">
        <f t="array" ref="N14">FXY(L14,M14)</f>
        <v>20.725940463911897</v>
      </c>
      <c r="O14" s="42">
        <f>M12 + (J14/3) * (N12 + 4*N13 + N14)</f>
        <v>152.43601912393859</v>
      </c>
      <c r="P14" s="29">
        <f t="shared" si="4"/>
        <v>-3.5757835855571131E-3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0.5</v>
      </c>
      <c r="K15" s="10">
        <f t="shared" si="5"/>
        <v>8</v>
      </c>
      <c r="L15" s="11">
        <f t="shared" si="6"/>
        <v>7</v>
      </c>
      <c r="M15" s="11">
        <f>M8+ ((4/3) * J15) * (2*N12 - N13 + 2*N14)</f>
        <v>131.81357498723602</v>
      </c>
      <c r="N15" s="11" cm="1">
        <f t="array" ref="N15">FXY(L15,M15)</f>
        <v>20.819940310409358</v>
      </c>
      <c r="O15" s="43">
        <f>M13 + (J15/3) * (N13 + 4*N14 + N15)</f>
        <v>152.43760238360386</v>
      </c>
      <c r="P15" s="29">
        <f t="shared" si="4"/>
        <v>-0.71117335849544261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0.5</v>
      </c>
      <c r="K16" s="6">
        <f t="shared" si="5"/>
        <v>9</v>
      </c>
      <c r="L16" s="7">
        <f t="shared" si="6"/>
        <v>7.5</v>
      </c>
      <c r="M16" s="7">
        <f>M12+ ((4/3) * J16) * (2*N13 - N14 + 2*N15)</f>
        <v>152.63215728153446</v>
      </c>
      <c r="N16" s="7" cm="1">
        <f t="array" ref="N16">FXY(L16,M16)</f>
        <v>20.87602552802753</v>
      </c>
      <c r="O16" s="74">
        <f t="shared" ref="O16:O18" si="7">M14 + (J16/3) * (N14 + 4*N15 + N16)</f>
        <v>173.14594260555359</v>
      </c>
      <c r="P16" s="78">
        <f t="shared" si="4"/>
        <v>-0.70737190772479741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0.5</v>
      </c>
      <c r="K17" s="9">
        <f t="shared" si="5"/>
        <v>10</v>
      </c>
      <c r="L17" s="5">
        <f t="shared" si="6"/>
        <v>8</v>
      </c>
      <c r="M17" s="19">
        <f>M13+ ((4/3) * J17) * (2*N14 - N15 + 2*N16)</f>
        <v>173.30299477220768</v>
      </c>
      <c r="N17" s="19" cm="1">
        <f t="array" ref="N17">FXY(L17,M17)</f>
        <v>20.931722022232783</v>
      </c>
      <c r="O17" s="75">
        <f t="shared" si="7"/>
        <v>152.68953572802806</v>
      </c>
      <c r="P17" s="58">
        <f t="shared" si="4"/>
        <v>0.71080893255791799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0.5</v>
      </c>
      <c r="K18" s="9">
        <f t="shared" si="5"/>
        <v>11</v>
      </c>
      <c r="L18" s="5">
        <f t="shared" si="6"/>
        <v>8.5</v>
      </c>
      <c r="M18" s="5">
        <f t="shared" ref="M18" si="8">M14+ ((4/3) * J18) * (2*N15 - N16 + 2*N17)</f>
        <v>194.08385415812859</v>
      </c>
      <c r="N18" s="5" cm="1">
        <f t="array" ref="N18">FXY(L18,M18)</f>
        <v>20.987139352847773</v>
      </c>
      <c r="O18" s="76">
        <f t="shared" si="7"/>
        <v>173.56383277650221</v>
      </c>
      <c r="P18" s="58">
        <f t="shared" si="4"/>
        <v>0.70758694419401302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2</v>
      </c>
      <c r="R32">
        <v>70.279477679999999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30</v>
      </c>
      <c r="F33" s="25" cm="1">
        <f t="array" ref="F33">B33*FXY(D33,E33)</f>
        <v>20.08329091229351</v>
      </c>
      <c r="G33" s="25" cm="1">
        <f t="array" ref="G33">B33*FXY(D33+B33,E33+F33)</f>
        <v>20.191662384003667</v>
      </c>
      <c r="H33" s="26">
        <f>E33+(1/2)*(F33+G33)</f>
        <v>50.137476648148592</v>
      </c>
      <c r="J33" s="103">
        <v>2</v>
      </c>
      <c r="K33" s="104"/>
      <c r="L33" s="105">
        <v>3</v>
      </c>
      <c r="M33" s="104"/>
      <c r="N33" s="105">
        <v>4</v>
      </c>
      <c r="O33" s="106"/>
      <c r="Q33">
        <v>3</v>
      </c>
      <c r="R33">
        <v>90.574227329999999</v>
      </c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9">
        <f>H33</f>
        <v>50.137476648148592</v>
      </c>
      <c r="F34" s="27" cm="1">
        <f t="array" ref="F34">B34*FXY(D34,E34)</f>
        <v>20.191684048732355</v>
      </c>
      <c r="G34" s="27" cm="1">
        <f t="array" ref="G34">B34*FXY(D34+B34,E34+F34)</f>
        <v>20.299447014418675</v>
      </c>
      <c r="H34" s="28">
        <f t="shared" ref="H34:H35" si="9">E34+(1/2)*(F34+G34)</f>
        <v>70.3830421797241</v>
      </c>
      <c r="J34" s="107">
        <v>70.279477679999999</v>
      </c>
      <c r="K34" s="108"/>
      <c r="L34" s="109">
        <v>90.574227329999999</v>
      </c>
      <c r="M34" s="108"/>
      <c r="N34" s="109">
        <v>110.9720631</v>
      </c>
      <c r="O34" s="110"/>
      <c r="Q34">
        <v>4</v>
      </c>
      <c r="R34">
        <v>110.9720631</v>
      </c>
    </row>
    <row r="35" spans="2:18" ht="15.75" thickBot="1" x14ac:dyDescent="0.3">
      <c r="B35" s="29">
        <v>1</v>
      </c>
      <c r="C35" s="29">
        <f>C34+1</f>
        <v>2</v>
      </c>
      <c r="D35" s="29">
        <f>D34+B34</f>
        <v>2</v>
      </c>
      <c r="E35" s="29">
        <f>H34</f>
        <v>70.3830421797241</v>
      </c>
      <c r="F35" s="29" cm="1">
        <f t="array" ref="F35">B35*FXY(D35,E35)</f>
        <v>20.299466944238173</v>
      </c>
      <c r="G35" s="29" cm="1">
        <f t="array" ref="G35">B35*FXY(D35+B35,E35+F35)</f>
        <v>20.406706145163433</v>
      </c>
      <c r="H35" s="28">
        <f t="shared" si="9"/>
        <v>90.736128724424901</v>
      </c>
      <c r="K35" s="111">
        <f>(L34-J34)/(L33-J33)</f>
        <v>20.29474965</v>
      </c>
      <c r="L35" s="112"/>
      <c r="M35" s="111">
        <f>(N34-L34)/(N33-L33)</f>
        <v>20.39783577</v>
      </c>
      <c r="N35" s="112"/>
      <c r="O35" s="1"/>
    </row>
    <row r="36" spans="2:18" ht="15.75" thickBot="1" x14ac:dyDescent="0.3">
      <c r="B36" s="29"/>
      <c r="C36" s="29"/>
      <c r="D36" s="29"/>
      <c r="E36" s="29"/>
      <c r="F36" s="29"/>
      <c r="G36" s="29"/>
      <c r="H36" s="28"/>
      <c r="L36" s="111">
        <f>(N33-J33)/(M35-K35)</f>
        <v>19.401254019454729</v>
      </c>
      <c r="M36" s="112"/>
    </row>
    <row r="37" spans="2:18" x14ac:dyDescent="0.2">
      <c r="B37" s="29"/>
      <c r="C37" s="29"/>
      <c r="D37" s="29"/>
      <c r="E37" s="29"/>
      <c r="F37" s="29"/>
      <c r="G37" s="29"/>
      <c r="H37" s="28"/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100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100 = 70.27947768 + (20.29474965) * (t - 2) + (19.4012540194547) * (t -2) * (t - 3)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s="82" t="s">
        <v>51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  <c r="O48" t="s">
        <v>52</v>
      </c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4.5099252132225445</v>
      </c>
      <c r="G53" s="22">
        <v>4.4474444041049317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8.3307745490150367E-2</v>
      </c>
      <c r="D55" s="62" t="s">
        <v>37</v>
      </c>
      <c r="E55" s="60">
        <f>(1/(2^H53 - 1))*(F53-G53)</f>
        <v>2.0826936372537592E-2</v>
      </c>
      <c r="F55" s="89" t="s">
        <v>38</v>
      </c>
      <c r="G55" s="91"/>
      <c r="H55" s="4">
        <f>F53+C55</f>
        <v>4.5932329587126945</v>
      </c>
    </row>
  </sheetData>
  <mergeCells count="31">
    <mergeCell ref="J39:N39"/>
    <mergeCell ref="O39:P39"/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CFE6BFC0-3714-4D7A-8A42-7C4E38921BB0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BBED3-8FE9-4B10-9E67-DA7A1401D8CC}">
  <dimension ref="A1:S55"/>
  <sheetViews>
    <sheetView zoomScaleNormal="100" workbookViewId="0">
      <pane xSplit="1" topLeftCell="C1" activePane="topRight" state="frozen"/>
      <selection pane="topRight" activeCell="J45" sqref="J45:R45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85</v>
      </c>
      <c r="N5" s="57" cm="1">
        <f t="array" ref="N5">FXY(L5,M5)</f>
        <v>-12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85</v>
      </c>
      <c r="G6" s="100"/>
      <c r="H6" s="101"/>
      <c r="I6" s="34"/>
      <c r="J6" s="39"/>
      <c r="K6" s="9">
        <v>1</v>
      </c>
      <c r="L6" s="5">
        <v>1</v>
      </c>
      <c r="M6" s="56">
        <v>74.428390196713693</v>
      </c>
      <c r="N6" s="57" cm="1">
        <f t="array" ref="N6">FXY(L6,M6)</f>
        <v>-9.4153047159982055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66.082086384248825</v>
      </c>
      <c r="N7" s="57" cm="1">
        <f t="array" ref="N7">FXY(L7,M7)</f>
        <v>-7.4717253907639574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85</v>
      </c>
      <c r="F8" s="25" cm="1">
        <f t="array" ref="F8">B8*FXY(D8,E8)</f>
        <v>-12</v>
      </c>
      <c r="G8" s="25" cm="1">
        <f t="array" ref="G8">B8*FXY(D8+B8,E8+F8)</f>
        <v>-9.1432196065726075</v>
      </c>
      <c r="H8" s="26">
        <f>E8+(1/2)*(F8+G8)</f>
        <v>74.428390196713693</v>
      </c>
      <c r="I8" s="33"/>
      <c r="J8" s="38"/>
      <c r="K8" s="69">
        <v>3</v>
      </c>
      <c r="L8" s="70">
        <v>3</v>
      </c>
      <c r="M8" s="56">
        <v>59.35970933460041</v>
      </c>
      <c r="N8" s="57" cm="1">
        <f t="array" ref="N8">FXY(L8,M8)</f>
        <v>-5.9814008067000097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74.428390196713693</v>
      </c>
      <c r="F9" s="27" cm="1">
        <f t="array" ref="F9">B9*FXY(D9,E9)</f>
        <v>-9.4153047159982055</v>
      </c>
      <c r="G9" s="27" cm="1">
        <f t="array" ref="G9">B9*FXY(D9+B9,E9+F9)</f>
        <v>-7.2773029089315333</v>
      </c>
      <c r="H9" s="28">
        <f t="shared" ref="H9:H12" si="0">E9+(1/2)*(F9+G9)</f>
        <v>66.082086384248825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 t="shared" ref="D10:D12" si="1">D9+B9</f>
        <v>2</v>
      </c>
      <c r="E10" s="29">
        <f t="shared" ref="E10:E12" si="2">H9</f>
        <v>66.082086384248825</v>
      </c>
      <c r="F10" s="29" cm="1">
        <f t="array" ref="F10">B10*FXY(D10,E10)</f>
        <v>-7.4717253907639574</v>
      </c>
      <c r="G10" s="29" cm="1">
        <f t="array" ref="G10">B10*FXY(D10+B10,E10+F10)</f>
        <v>-5.8509528821148544</v>
      </c>
      <c r="H10" s="28">
        <f t="shared" si="0"/>
        <v>59.420747247809416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 t="shared" ref="C11:C12" si="3">C10+1</f>
        <v>3</v>
      </c>
      <c r="D11" s="29">
        <f t="shared" si="1"/>
        <v>3</v>
      </c>
      <c r="E11" s="29">
        <f t="shared" si="2"/>
        <v>59.420747247809416</v>
      </c>
      <c r="F11" s="29" cm="1">
        <f t="array" ref="F11">B11*FXY(D11,E11)</f>
        <v>-5.9920263978466721</v>
      </c>
      <c r="G11" s="29" cm="1">
        <f t="array" ref="G11">B11*FXY(D11+B11,E11+F11)</f>
        <v>-4.748506231884412</v>
      </c>
      <c r="H11" s="28">
        <f t="shared" si="0"/>
        <v>54.05048093294387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1</v>
      </c>
      <c r="C12" s="29">
        <f t="shared" si="3"/>
        <v>4</v>
      </c>
      <c r="D12" s="29">
        <f t="shared" si="1"/>
        <v>4</v>
      </c>
      <c r="E12" s="29">
        <f t="shared" si="2"/>
        <v>54.05048093294387</v>
      </c>
      <c r="F12" s="29" cm="1">
        <f t="array" ref="F12">B12*FXY(D12,E12)</f>
        <v>-4.8523600649272272</v>
      </c>
      <c r="G12" s="29" cm="1">
        <f t="array" ref="G12">B12*FXY(D12+B12,E12+F12)</f>
        <v>-3.8875023081900828</v>
      </c>
      <c r="H12" s="28">
        <f t="shared" si="0"/>
        <v>49.680549746385218</v>
      </c>
      <c r="I12" s="35"/>
      <c r="J12" s="29">
        <v>1</v>
      </c>
      <c r="K12" s="6">
        <v>5</v>
      </c>
      <c r="L12" s="12">
        <f>L8+J12</f>
        <v>4</v>
      </c>
      <c r="M12" s="7">
        <f>M5+ ((4/3) * J12) * (2*N6 - N7 + 2*N8)</f>
        <v>53.9044191271567</v>
      </c>
      <c r="N12" s="8" cm="1">
        <f t="array" ref="N12">FXY(L12,M12)</f>
        <v>-4.8279630687105799</v>
      </c>
      <c r="O12" s="8">
        <f>M7 + (J12/3) * (N7 + 4*N8 + N12)</f>
        <v>54.006989155490636</v>
      </c>
      <c r="P12" s="27">
        <f t="shared" ref="P12:P18" si="4">(-1/29) * (O12 - M12)</f>
        <v>-3.5368975287564186E-3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>1+K12</f>
        <v>6</v>
      </c>
      <c r="L13" s="13">
        <f>L12+J12</f>
        <v>5</v>
      </c>
      <c r="M13" s="5">
        <f>M6+ ((4/3) * J13) * (2*N7 - N8 + 2*N12)</f>
        <v>49.604422047048274</v>
      </c>
      <c r="N13" s="42" cm="1">
        <f t="array" ref="N13">FXY(L13,M13)</f>
        <v>-3.9527758383092531</v>
      </c>
      <c r="O13" s="42">
        <f>M8 + (J13/3) * (N8 + 4*N12 + N13)</f>
        <v>49.611033027983218</v>
      </c>
      <c r="P13" s="29">
        <f t="shared" si="4"/>
        <v>-2.2796485982566091E-4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 t="shared" ref="K14:K18" si="5">1+K13</f>
        <v>7</v>
      </c>
      <c r="L14" s="5">
        <f t="shared" ref="L14:L18" si="6">L13+J13</f>
        <v>6</v>
      </c>
      <c r="M14" s="5">
        <f>M7+ ((4/3) * J14) * (2*N8 - N12 + 2*N13)</f>
        <v>46.028232755838232</v>
      </c>
      <c r="N14" s="42" cm="1">
        <f t="array" ref="N14">FXY(L14,M14)</f>
        <v>-3.2568771578735811</v>
      </c>
      <c r="O14" s="42">
        <f>M12 + (J14/3) * (N12 + 4*N13 + N14)</f>
        <v>45.939104600549641</v>
      </c>
      <c r="P14" s="29">
        <f t="shared" si="4"/>
        <v>3.073384665123842E-3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1</v>
      </c>
      <c r="K15" s="10">
        <f t="shared" si="5"/>
        <v>8</v>
      </c>
      <c r="L15" s="11">
        <f t="shared" si="6"/>
        <v>7</v>
      </c>
      <c r="M15" s="11">
        <f>M8+ ((4/3) * J15) * (2*N12 - N13 + 2*N14)</f>
        <v>43.070503181454988</v>
      </c>
      <c r="N15" s="11" cm="1">
        <f t="array" ref="N15">FXY(L15,M15)</f>
        <v>-2.7044049493481443</v>
      </c>
      <c r="O15" s="43">
        <f>M13 + (J15/3) * (N13 + 4*N14 + N15)</f>
        <v>43.042858907331031</v>
      </c>
      <c r="P15" s="29">
        <f t="shared" si="4"/>
        <v>9.5325083186061229E-4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1</v>
      </c>
      <c r="K16" s="6">
        <f t="shared" si="5"/>
        <v>9</v>
      </c>
      <c r="L16" s="7">
        <f t="shared" si="6"/>
        <v>8</v>
      </c>
      <c r="M16" s="7">
        <f>M12+ ((4/3) * J16) * (2*N13 - N14 + 2*N15)</f>
        <v>40.49443990390175</v>
      </c>
      <c r="N16" s="7" cm="1">
        <f t="array" ref="N16">FXY(L16,M16)</f>
        <v>-2.2456540535498468</v>
      </c>
      <c r="O16" s="74">
        <f t="shared" ref="O16:O18" si="7">M14 + (J16/3) * (N14 + 4*N15 + N16)</f>
        <v>40.58818241956623</v>
      </c>
      <c r="P16" s="78">
        <f t="shared" si="4"/>
        <v>-3.2325005401545055E-3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>
        <f t="shared" si="5"/>
        <v>10</v>
      </c>
      <c r="L17" s="5">
        <f t="shared" si="6"/>
        <v>9</v>
      </c>
      <c r="M17" s="19">
        <f>M13+ ((4/3) * J17) * (2*N14 - N15 + 2*N16)</f>
        <v>38.53687874904999</v>
      </c>
      <c r="N17" s="19" cm="1">
        <f t="array" ref="N17">FXY(L17,M17)</f>
        <v>-1.9040562936000993</v>
      </c>
      <c r="O17" s="75">
        <f t="shared" si="7"/>
        <v>38.540144029072444</v>
      </c>
      <c r="P17" s="58">
        <f t="shared" si="4"/>
        <v>-1.1259586284324016E-4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>
        <f t="shared" si="5"/>
        <v>11</v>
      </c>
      <c r="L18" s="5">
        <f t="shared" si="6"/>
        <v>10</v>
      </c>
      <c r="M18" s="5">
        <f t="shared" ref="M18" si="8">M14+ ((4/3) * J18) * (2*N15 - N16 + 2*N17)</f>
        <v>36.733208179376049</v>
      </c>
      <c r="N18" s="5" cm="1">
        <f t="array" ref="N18">FXY(L18,M18)</f>
        <v>-1.6049614247553106</v>
      </c>
      <c r="O18" s="76">
        <f t="shared" si="7"/>
        <v>36.672159686333231</v>
      </c>
      <c r="P18" s="58">
        <f t="shared" si="4"/>
        <v>2.1051204497523641E-3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4</v>
      </c>
      <c r="R32">
        <v>54.006989155490601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85</v>
      </c>
      <c r="F33" s="25" cm="1">
        <f t="array" ref="F33">B33*FXY(D33,E33)</f>
        <v>-12</v>
      </c>
      <c r="G33" s="25" cm="1">
        <f t="array" ref="G33">B33*FXY(D33+B33,E33+F33)</f>
        <v>-9.1432196065726075</v>
      </c>
      <c r="H33" s="26">
        <f>E33+(1/2)*(F33+G33)</f>
        <v>74.428390196713693</v>
      </c>
      <c r="J33" s="103">
        <v>4</v>
      </c>
      <c r="K33" s="104"/>
      <c r="L33" s="105">
        <v>5</v>
      </c>
      <c r="M33" s="104"/>
      <c r="N33" s="105">
        <v>6</v>
      </c>
      <c r="O33" s="106"/>
      <c r="Q33">
        <v>5</v>
      </c>
      <c r="R33">
        <v>49.611033027983197</v>
      </c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9">
        <f>H33</f>
        <v>74.428390196713693</v>
      </c>
      <c r="F34" s="27" cm="1">
        <f t="array" ref="F34">B34*FXY(D34,E34)</f>
        <v>-9.4153047159982055</v>
      </c>
      <c r="G34" s="27" cm="1">
        <f t="array" ref="G34">B34*FXY(D34+B34,E34+F34)</f>
        <v>-7.2773029089315333</v>
      </c>
      <c r="H34" s="28">
        <f t="shared" ref="H34:H37" si="9">E34+(1/2)*(F34+G34)</f>
        <v>66.082086384248825</v>
      </c>
      <c r="J34" s="107">
        <v>54.006989155490601</v>
      </c>
      <c r="K34" s="108"/>
      <c r="L34" s="109">
        <v>49.611033027983197</v>
      </c>
      <c r="M34" s="108"/>
      <c r="N34" s="109">
        <v>45.939104600549598</v>
      </c>
      <c r="O34" s="110"/>
      <c r="Q34">
        <v>6</v>
      </c>
      <c r="R34">
        <v>45.939104600549598</v>
      </c>
    </row>
    <row r="35" spans="2:18" ht="15.75" thickBot="1" x14ac:dyDescent="0.3">
      <c r="B35" s="29">
        <v>0.45</v>
      </c>
      <c r="C35" s="29">
        <f>C34+1</f>
        <v>2</v>
      </c>
      <c r="D35" s="29">
        <f t="shared" ref="D35:D37" si="10">D34+B34</f>
        <v>2</v>
      </c>
      <c r="E35" s="29">
        <f t="shared" ref="E35:E37" si="11">H34</f>
        <v>66.082086384248825</v>
      </c>
      <c r="F35" s="29" cm="1">
        <f t="array" ref="F35">B35*FXY(D35,E35)</f>
        <v>-3.3622764258437807</v>
      </c>
      <c r="G35" s="29" cm="1">
        <f t="array" ref="G35">B35*FXY(D35+B35,E35+F35)</f>
        <v>-3.0259474377511268</v>
      </c>
      <c r="H35" s="28">
        <f t="shared" si="9"/>
        <v>62.887974452451374</v>
      </c>
      <c r="K35" s="111">
        <f>(L34-J34)/(L33-J33)</f>
        <v>-4.3959561275074037</v>
      </c>
      <c r="L35" s="112"/>
      <c r="M35" s="111">
        <f>(N34-L34)/(N33-L33)</f>
        <v>-3.671928427433599</v>
      </c>
      <c r="N35" s="112"/>
      <c r="O35" s="1"/>
    </row>
    <row r="36" spans="2:18" ht="15.75" thickBot="1" x14ac:dyDescent="0.3">
      <c r="B36" s="29">
        <v>0.55000000000000004</v>
      </c>
      <c r="C36" s="29">
        <f t="shared" ref="C36:C37" si="12">C35+1</f>
        <v>3</v>
      </c>
      <c r="D36" s="29">
        <f t="shared" si="10"/>
        <v>2.4500000000000002</v>
      </c>
      <c r="E36" s="29">
        <f t="shared" si="11"/>
        <v>62.887974452451374</v>
      </c>
      <c r="F36" s="29" cm="1">
        <f t="array" ref="F36">B36*FXY(D36,E36)</f>
        <v>-3.7148685200647371</v>
      </c>
      <c r="G36" s="29" cm="1">
        <f t="array" ref="G36">B36*FXY(D36+B36,E36+F36)</f>
        <v>-3.2719041005411835</v>
      </c>
      <c r="H36" s="28">
        <f t="shared" si="9"/>
        <v>59.394588142148415</v>
      </c>
      <c r="L36" s="111">
        <f>(N33-J33)/(M35-K35)</f>
        <v>2.7623252532964244</v>
      </c>
      <c r="M36" s="112"/>
    </row>
    <row r="37" spans="2:18" x14ac:dyDescent="0.2">
      <c r="B37" s="29">
        <v>1</v>
      </c>
      <c r="C37" s="29">
        <f t="shared" si="12"/>
        <v>4</v>
      </c>
      <c r="D37" s="29">
        <f t="shared" si="10"/>
        <v>3</v>
      </c>
      <c r="E37" s="29">
        <f t="shared" si="11"/>
        <v>59.394588142148415</v>
      </c>
      <c r="F37" s="29" cm="1">
        <f t="array" ref="F37">B37*FXY(D37,E37)</f>
        <v>-5.9874725730695308</v>
      </c>
      <c r="G37" s="29" cm="1">
        <f t="array" ref="G37">B37*FXY(D37+B37,E37+F37)</f>
        <v>-4.7448974585083565</v>
      </c>
      <c r="H37" s="28">
        <f t="shared" si="9"/>
        <v>54.028403126359471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50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50 = 54.0069891554906 + (-4.3959561275074) * (t - 4) + (2.76232525329642) * (t -4) * (t - 5)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s="82" t="s">
        <v>53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  <c r="O48" t="s">
        <v>52</v>
      </c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59.394588142148415</v>
      </c>
      <c r="G53" s="22">
        <v>59.420747247809416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-3.4878807548002058E-2</v>
      </c>
      <c r="D55" s="62" t="s">
        <v>37</v>
      </c>
      <c r="E55" s="60">
        <f>(0.7425)*(F53-G53)</f>
        <v>-1.942313595329365E-2</v>
      </c>
      <c r="F55" s="89" t="s">
        <v>38</v>
      </c>
      <c r="G55" s="91"/>
      <c r="H55" s="4">
        <f>F53+C55</f>
        <v>59.35970933460041</v>
      </c>
    </row>
  </sheetData>
  <mergeCells count="31">
    <mergeCell ref="J39:N39"/>
    <mergeCell ref="O39:P39"/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15BF7472-75F8-4514-BA98-E0DDA2556B9D}"/>
  </hyperlinks>
  <pageMargins left="0.75" right="0.75" top="1" bottom="1" header="0.5" footer="0.5"/>
  <pageSetup orientation="portrait" horizontalDpi="300" verticalDpi="300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2917C-3E49-4CA9-B009-B3AD0E0574F1}">
  <dimension ref="A1:S55"/>
  <sheetViews>
    <sheetView tabSelected="1" zoomScaleNormal="100" workbookViewId="0">
      <pane xSplit="1" topLeftCell="C1" activePane="topRight" state="frozen"/>
      <selection pane="topRight" activeCell="J45" sqref="J45:R45"/>
    </sheetView>
  </sheetViews>
  <sheetFormatPr baseColWidth="10" defaultColWidth="9.140625" defaultRowHeight="12.75" x14ac:dyDescent="0.2"/>
  <cols>
    <col min="2" max="8" width="14.28515625" customWidth="1"/>
    <col min="13" max="13" width="35.7109375" customWidth="1"/>
    <col min="14" max="14" width="12" bestFit="1" customWidth="1"/>
    <col min="15" max="15" width="12.5703125" bestFit="1" customWidth="1"/>
    <col min="16" max="17" width="12" bestFit="1" customWidth="1"/>
    <col min="18" max="18" width="14.7109375" customWidth="1"/>
    <col min="19" max="19" width="14.28515625" customWidth="1"/>
  </cols>
  <sheetData>
    <row r="1" spans="1:19" ht="13.5" thickBot="1" x14ac:dyDescent="0.25">
      <c r="O1" s="1"/>
    </row>
    <row r="2" spans="1:19" ht="15.75" thickBot="1" x14ac:dyDescent="0.3">
      <c r="A2" s="33"/>
      <c r="C2" s="86" t="s">
        <v>5</v>
      </c>
      <c r="D2" s="87"/>
      <c r="E2" s="87"/>
      <c r="F2" s="87"/>
      <c r="G2" s="87"/>
      <c r="H2" s="88"/>
      <c r="I2" s="33"/>
      <c r="J2" s="1"/>
      <c r="K2" s="89" t="s">
        <v>6</v>
      </c>
      <c r="L2" s="90"/>
      <c r="M2" s="90"/>
      <c r="N2" s="91"/>
      <c r="O2" s="53"/>
      <c r="P2" s="1"/>
    </row>
    <row r="3" spans="1:19" ht="15.75" thickBot="1" x14ac:dyDescent="0.3">
      <c r="A3" s="34"/>
      <c r="C3" s="92" t="s">
        <v>19</v>
      </c>
      <c r="D3" s="93"/>
      <c r="E3" s="93"/>
      <c r="F3" s="93"/>
      <c r="G3" s="93"/>
      <c r="H3" s="94"/>
      <c r="I3" s="34"/>
      <c r="J3" s="1"/>
      <c r="K3" s="86" t="s">
        <v>9</v>
      </c>
      <c r="L3" s="87"/>
      <c r="M3" s="87"/>
      <c r="N3" s="88"/>
      <c r="O3" s="54"/>
      <c r="P3" s="41"/>
    </row>
    <row r="4" spans="1:19" ht="15.75" thickBot="1" x14ac:dyDescent="0.3">
      <c r="A4" s="35"/>
      <c r="C4" s="83" t="s">
        <v>20</v>
      </c>
      <c r="D4" s="84"/>
      <c r="E4" s="84"/>
      <c r="F4" s="84"/>
      <c r="G4" s="84"/>
      <c r="H4" s="85"/>
      <c r="I4" s="35"/>
      <c r="J4" s="39"/>
      <c r="K4" s="46" t="s">
        <v>28</v>
      </c>
      <c r="L4" s="47" t="s">
        <v>27</v>
      </c>
      <c r="M4" s="52" t="s">
        <v>26</v>
      </c>
      <c r="N4" s="48" t="s">
        <v>29</v>
      </c>
      <c r="O4" s="34"/>
      <c r="P4" s="37"/>
    </row>
    <row r="5" spans="1:19" ht="15.75" thickBot="1" x14ac:dyDescent="0.3">
      <c r="A5" s="33"/>
      <c r="C5" s="95" t="s">
        <v>21</v>
      </c>
      <c r="D5" s="96"/>
      <c r="E5" s="96"/>
      <c r="F5" s="96"/>
      <c r="G5" s="96"/>
      <c r="H5" s="97"/>
      <c r="I5" s="33"/>
      <c r="J5" s="39"/>
      <c r="K5" s="44">
        <v>0</v>
      </c>
      <c r="L5" s="19">
        <v>0</v>
      </c>
      <c r="M5" s="55">
        <v>85</v>
      </c>
      <c r="N5" s="57" cm="1">
        <f t="array" ref="N5">FXY(L5,M5)</f>
        <v>-12</v>
      </c>
      <c r="O5" s="34"/>
      <c r="P5" s="37"/>
    </row>
    <row r="6" spans="1:19" ht="15.75" thickBot="1" x14ac:dyDescent="0.3">
      <c r="A6" s="34"/>
      <c r="B6" s="98" t="s">
        <v>23</v>
      </c>
      <c r="C6" s="36" t="s">
        <v>16</v>
      </c>
      <c r="D6" s="24">
        <v>0</v>
      </c>
      <c r="E6" s="36" t="s">
        <v>17</v>
      </c>
      <c r="F6" s="24">
        <v>85</v>
      </c>
      <c r="G6" s="100"/>
      <c r="H6" s="101"/>
      <c r="I6" s="34"/>
      <c r="J6" s="39"/>
      <c r="K6" s="9">
        <v>1</v>
      </c>
      <c r="L6" s="5">
        <v>1</v>
      </c>
      <c r="M6" s="56">
        <v>74.428390196713693</v>
      </c>
      <c r="N6" s="57" cm="1">
        <f t="array" ref="N6">FXY(L6,M6)</f>
        <v>-9.4153047159982055</v>
      </c>
      <c r="P6" s="37"/>
    </row>
    <row r="7" spans="1:19" ht="15.75" thickBot="1" x14ac:dyDescent="0.3">
      <c r="A7" s="35"/>
      <c r="B7" s="99"/>
      <c r="C7" s="32" t="s">
        <v>4</v>
      </c>
      <c r="D7" s="32" t="s">
        <v>0</v>
      </c>
      <c r="E7" s="32" t="s">
        <v>1</v>
      </c>
      <c r="F7" s="32" t="s">
        <v>2</v>
      </c>
      <c r="G7" s="32" t="s">
        <v>3</v>
      </c>
      <c r="H7" s="32" t="s">
        <v>18</v>
      </c>
      <c r="I7" s="35"/>
      <c r="J7" s="38"/>
      <c r="K7" s="9">
        <v>2</v>
      </c>
      <c r="L7" s="5">
        <v>2</v>
      </c>
      <c r="M7" s="56">
        <v>66.082086384248825</v>
      </c>
      <c r="N7" s="57" cm="1">
        <f t="array" ref="N7">FXY(L7,M7)</f>
        <v>-7.4717253907639574</v>
      </c>
      <c r="P7" s="37"/>
    </row>
    <row r="8" spans="1:19" ht="15.75" thickBot="1" x14ac:dyDescent="0.3">
      <c r="A8" s="33"/>
      <c r="B8" s="31">
        <v>1</v>
      </c>
      <c r="C8" s="25">
        <v>0</v>
      </c>
      <c r="D8" s="25">
        <f>$D$6</f>
        <v>0</v>
      </c>
      <c r="E8" s="25">
        <f>$F$6</f>
        <v>85</v>
      </c>
      <c r="F8" s="25" cm="1">
        <f t="array" ref="F8">B8*FXY(D8,E8)</f>
        <v>-12</v>
      </c>
      <c r="G8" s="25" cm="1">
        <f t="array" ref="G8">B8*FXY(D8+B8,E8+F8)</f>
        <v>-9.1432196065726075</v>
      </c>
      <c r="H8" s="26">
        <f>E8+(1/2)*(F8+G8)</f>
        <v>74.428390196713693</v>
      </c>
      <c r="I8" s="33"/>
      <c r="J8" s="38"/>
      <c r="K8" s="69">
        <v>3</v>
      </c>
      <c r="L8" s="70">
        <v>3</v>
      </c>
      <c r="M8" s="56">
        <v>59.35970933460041</v>
      </c>
      <c r="N8" s="57" cm="1">
        <f t="array" ref="N8">FXY(L8,M8)</f>
        <v>-5.9814008067000097</v>
      </c>
      <c r="P8" s="37"/>
      <c r="S8" s="21"/>
    </row>
    <row r="9" spans="1:19" ht="15.75" thickBot="1" x14ac:dyDescent="0.3">
      <c r="A9" s="34"/>
      <c r="B9" s="27">
        <v>1</v>
      </c>
      <c r="C9" s="27">
        <f>C8+1</f>
        <v>1</v>
      </c>
      <c r="D9" s="27">
        <f>D8+B8</f>
        <v>1</v>
      </c>
      <c r="E9" s="27">
        <f>H8</f>
        <v>74.428390196713693</v>
      </c>
      <c r="F9" s="27" cm="1">
        <f t="array" ref="F9">B9*FXY(D9,E9)</f>
        <v>-9.4153047159982055</v>
      </c>
      <c r="G9" s="27" cm="1">
        <f t="array" ref="G9">B9*FXY(D9+B9,E9+F9)</f>
        <v>-7.2773029089315333</v>
      </c>
      <c r="H9" s="28">
        <f t="shared" ref="H9:H12" si="0">E9+(1/2)*(F9+G9)</f>
        <v>66.082086384248825</v>
      </c>
      <c r="I9" s="34"/>
      <c r="K9" s="86" t="s">
        <v>10</v>
      </c>
      <c r="L9" s="87"/>
      <c r="M9" s="87"/>
      <c r="N9" s="87"/>
      <c r="O9" s="88"/>
      <c r="P9" s="40"/>
    </row>
    <row r="10" spans="1:19" ht="15.75" thickBot="1" x14ac:dyDescent="0.3">
      <c r="A10" s="35"/>
      <c r="B10" s="29">
        <v>1</v>
      </c>
      <c r="C10" s="29">
        <f>C9+1</f>
        <v>2</v>
      </c>
      <c r="D10" s="29">
        <f t="shared" ref="D10:D12" si="1">D9+B9</f>
        <v>2</v>
      </c>
      <c r="E10" s="29">
        <f t="shared" ref="E10:E12" si="2">H9</f>
        <v>66.082086384248825</v>
      </c>
      <c r="F10" s="29" cm="1">
        <f t="array" ref="F10">B10*FXY(D10,E10)</f>
        <v>-7.4717253907639574</v>
      </c>
      <c r="G10" s="29" cm="1">
        <f t="array" ref="G10">B10*FXY(D10+B10,E10+F10)</f>
        <v>-5.8509528821148544</v>
      </c>
      <c r="H10" s="28">
        <f t="shared" si="0"/>
        <v>59.420747247809416</v>
      </c>
      <c r="I10" s="35"/>
      <c r="K10" s="14"/>
      <c r="L10" s="15"/>
      <c r="M10" s="16" t="s">
        <v>8</v>
      </c>
      <c r="N10" s="16" t="s">
        <v>7</v>
      </c>
      <c r="O10" s="4"/>
      <c r="P10" s="40"/>
    </row>
    <row r="11" spans="1:19" ht="13.5" thickBot="1" x14ac:dyDescent="0.25">
      <c r="A11" s="35"/>
      <c r="B11" s="29">
        <v>1</v>
      </c>
      <c r="C11" s="29">
        <f t="shared" ref="C11:C12" si="3">C10+1</f>
        <v>3</v>
      </c>
      <c r="D11" s="29">
        <f t="shared" si="1"/>
        <v>3</v>
      </c>
      <c r="E11" s="29">
        <f t="shared" si="2"/>
        <v>59.420747247809416</v>
      </c>
      <c r="F11" s="29" cm="1">
        <f t="array" ref="F11">B11*FXY(D11,E11)</f>
        <v>-5.9920263978466721</v>
      </c>
      <c r="G11" s="29" cm="1">
        <f t="array" ref="G11">B11*FXY(D11+B11,E11+F11)</f>
        <v>-4.748506231884412</v>
      </c>
      <c r="H11" s="28">
        <f t="shared" si="0"/>
        <v>54.05048093294387</v>
      </c>
      <c r="I11" s="35"/>
      <c r="J11" s="48" t="s">
        <v>23</v>
      </c>
      <c r="K11" s="49" t="s">
        <v>4</v>
      </c>
      <c r="L11" s="47" t="s">
        <v>11</v>
      </c>
      <c r="M11" s="50" t="s">
        <v>13</v>
      </c>
      <c r="N11" s="51" t="s">
        <v>12</v>
      </c>
      <c r="O11" s="68" t="s">
        <v>14</v>
      </c>
      <c r="P11" s="73" t="s">
        <v>15</v>
      </c>
    </row>
    <row r="12" spans="1:19" x14ac:dyDescent="0.2">
      <c r="A12" s="35"/>
      <c r="B12" s="29">
        <v>1</v>
      </c>
      <c r="C12" s="29">
        <f t="shared" si="3"/>
        <v>4</v>
      </c>
      <c r="D12" s="29">
        <f t="shared" si="1"/>
        <v>4</v>
      </c>
      <c r="E12" s="29">
        <f t="shared" si="2"/>
        <v>54.05048093294387</v>
      </c>
      <c r="F12" s="29" cm="1">
        <f t="array" ref="F12">B12*FXY(D12,E12)</f>
        <v>-4.8523600649272272</v>
      </c>
      <c r="G12" s="29" cm="1">
        <f t="array" ref="G12">B12*FXY(D12+B12,E12+F12)</f>
        <v>-3.8875023081900828</v>
      </c>
      <c r="H12" s="28">
        <f t="shared" si="0"/>
        <v>49.680549746385218</v>
      </c>
      <c r="I12" s="35"/>
      <c r="J12" s="29">
        <v>1</v>
      </c>
      <c r="K12" s="6">
        <v>5</v>
      </c>
      <c r="L12" s="12">
        <f>L8+J12</f>
        <v>4</v>
      </c>
      <c r="M12" s="7">
        <f>M5+ ((4/3) * J12) * (2*N6 - N7 + 2*N8)</f>
        <v>53.9044191271567</v>
      </c>
      <c r="N12" s="8" cm="1">
        <f t="array" ref="N12">FXY(L12,M12)</f>
        <v>-4.8279630687105799</v>
      </c>
      <c r="O12" s="8">
        <f>M7 + (J12/3) * (N7 + 4*N8 + N12)</f>
        <v>54.006989155490636</v>
      </c>
      <c r="P12" s="27">
        <f t="shared" ref="P12:P18" si="4">(-1/29) * (O12 - M12)</f>
        <v>-3.5368975287564186E-3</v>
      </c>
    </row>
    <row r="13" spans="1:19" x14ac:dyDescent="0.2">
      <c r="A13" s="35"/>
      <c r="B13" s="29"/>
      <c r="C13" s="29"/>
      <c r="D13" s="29"/>
      <c r="E13" s="29"/>
      <c r="F13" s="29"/>
      <c r="G13" s="29"/>
      <c r="H13" s="28"/>
      <c r="I13" s="35"/>
      <c r="J13" s="29">
        <v>1</v>
      </c>
      <c r="K13" s="9">
        <f>1+K12</f>
        <v>6</v>
      </c>
      <c r="L13" s="13">
        <f>L12+J12</f>
        <v>5</v>
      </c>
      <c r="M13" s="5">
        <f>M6+ ((4/3) * J13) * (2*N7 - N8 + 2*N12)</f>
        <v>49.604422047048274</v>
      </c>
      <c r="N13" s="42" cm="1">
        <f t="array" ref="N13">FXY(L13,M13)</f>
        <v>-3.9527758383092531</v>
      </c>
      <c r="O13" s="42">
        <f>M8 + (J13/3) * (N8 + 4*N12 + N13)</f>
        <v>49.611033027983218</v>
      </c>
      <c r="P13" s="29">
        <f t="shared" si="4"/>
        <v>-2.2796485982566091E-4</v>
      </c>
    </row>
    <row r="14" spans="1:19" x14ac:dyDescent="0.2">
      <c r="A14" s="35"/>
      <c r="B14" s="29"/>
      <c r="C14" s="29"/>
      <c r="D14" s="29"/>
      <c r="E14" s="29"/>
      <c r="F14" s="29"/>
      <c r="G14" s="29"/>
      <c r="H14" s="28"/>
      <c r="I14" s="35"/>
      <c r="J14" s="29">
        <v>1</v>
      </c>
      <c r="K14" s="9">
        <f t="shared" ref="K14:K18" si="5">1+K13</f>
        <v>7</v>
      </c>
      <c r="L14" s="5">
        <f t="shared" ref="L14:L18" si="6">L13+J13</f>
        <v>6</v>
      </c>
      <c r="M14" s="5">
        <f>M7+ ((4/3) * J14) * (2*N8 - N12 + 2*N13)</f>
        <v>46.028232755838232</v>
      </c>
      <c r="N14" s="42" cm="1">
        <f t="array" ref="N14">FXY(L14,M14)</f>
        <v>-3.2568771578735811</v>
      </c>
      <c r="O14" s="42">
        <f>M12 + (J14/3) * (N12 + 4*N13 + N14)</f>
        <v>45.939104600549641</v>
      </c>
      <c r="P14" s="29">
        <f t="shared" si="4"/>
        <v>3.073384665123842E-3</v>
      </c>
    </row>
    <row r="15" spans="1:19" ht="13.5" thickBot="1" x14ac:dyDescent="0.25">
      <c r="B15" s="29"/>
      <c r="C15" s="29"/>
      <c r="D15" s="29"/>
      <c r="E15" s="29"/>
      <c r="F15" s="29"/>
      <c r="G15" s="29"/>
      <c r="H15" s="28"/>
      <c r="J15" s="29">
        <v>1</v>
      </c>
      <c r="K15" s="10">
        <f t="shared" si="5"/>
        <v>8</v>
      </c>
      <c r="L15" s="11">
        <f t="shared" si="6"/>
        <v>7</v>
      </c>
      <c r="M15" s="11">
        <f>M8+ ((4/3) * J15) * (2*N12 - N13 + 2*N14)</f>
        <v>43.070503181454988</v>
      </c>
      <c r="N15" s="11" cm="1">
        <f t="array" ref="N15">FXY(L15,M15)</f>
        <v>-2.7044049493481443</v>
      </c>
      <c r="O15" s="43">
        <f>M13 + (J15/3) * (N13 + 4*N14 + N15)</f>
        <v>43.042858907331031</v>
      </c>
      <c r="P15" s="29">
        <f t="shared" si="4"/>
        <v>9.5325083186061229E-4</v>
      </c>
    </row>
    <row r="16" spans="1:19" x14ac:dyDescent="0.2">
      <c r="B16" s="29"/>
      <c r="C16" s="29"/>
      <c r="D16" s="29"/>
      <c r="E16" s="29"/>
      <c r="F16" s="29"/>
      <c r="G16" s="29"/>
      <c r="H16" s="28"/>
      <c r="J16" s="29">
        <v>1</v>
      </c>
      <c r="K16" s="6">
        <f t="shared" si="5"/>
        <v>9</v>
      </c>
      <c r="L16" s="7">
        <f t="shared" si="6"/>
        <v>8</v>
      </c>
      <c r="M16" s="7">
        <f>M12+ ((4/3) * J16) * (2*N13 - N14 + 2*N15)</f>
        <v>40.49443990390175</v>
      </c>
      <c r="N16" s="7" cm="1">
        <f t="array" ref="N16">FXY(L16,M16)</f>
        <v>-2.2456540535498468</v>
      </c>
      <c r="O16" s="74">
        <f t="shared" ref="O16:O18" si="7">M14 + (J16/3) * (N14 + 4*N15 + N16)</f>
        <v>40.58818241956623</v>
      </c>
      <c r="P16" s="78">
        <f t="shared" si="4"/>
        <v>-3.2325005401545055E-3</v>
      </c>
    </row>
    <row r="17" spans="2:18" x14ac:dyDescent="0.2">
      <c r="B17" s="29"/>
      <c r="C17" s="29"/>
      <c r="D17" s="29"/>
      <c r="E17" s="29"/>
      <c r="F17" s="29"/>
      <c r="G17" s="29"/>
      <c r="H17" s="28"/>
      <c r="J17" s="29">
        <v>1</v>
      </c>
      <c r="K17" s="9">
        <f t="shared" si="5"/>
        <v>10</v>
      </c>
      <c r="L17" s="5">
        <f t="shared" si="6"/>
        <v>9</v>
      </c>
      <c r="M17" s="19">
        <f>M13+ ((4/3) * J17) * (2*N14 - N15 + 2*N16)</f>
        <v>38.53687874904999</v>
      </c>
      <c r="N17" s="19" cm="1">
        <f t="array" ref="N17">FXY(L17,M17)</f>
        <v>-1.9040562936000993</v>
      </c>
      <c r="O17" s="75">
        <f t="shared" si="7"/>
        <v>38.540144029072444</v>
      </c>
      <c r="P17" s="58">
        <f t="shared" si="4"/>
        <v>-1.1259586284324016E-4</v>
      </c>
    </row>
    <row r="18" spans="2:18" ht="13.5" thickBot="1" x14ac:dyDescent="0.25">
      <c r="B18" s="29"/>
      <c r="C18" s="29"/>
      <c r="D18" s="29"/>
      <c r="E18" s="29"/>
      <c r="F18" s="29"/>
      <c r="G18" s="29"/>
      <c r="H18" s="28"/>
      <c r="J18" s="29">
        <v>1</v>
      </c>
      <c r="K18" s="9">
        <f t="shared" si="5"/>
        <v>11</v>
      </c>
      <c r="L18" s="5">
        <f t="shared" si="6"/>
        <v>10</v>
      </c>
      <c r="M18" s="5">
        <f t="shared" ref="M18" si="8">M14+ ((4/3) * J18) * (2*N15 - N16 + 2*N17)</f>
        <v>36.733208179376049</v>
      </c>
      <c r="N18" s="5" cm="1">
        <f t="array" ref="N18">FXY(L18,M18)</f>
        <v>-1.6049614247553106</v>
      </c>
      <c r="O18" s="76">
        <f t="shared" si="7"/>
        <v>36.672159686333231</v>
      </c>
      <c r="P18" s="58">
        <f t="shared" si="4"/>
        <v>2.1051204497523641E-3</v>
      </c>
    </row>
    <row r="19" spans="2:18" x14ac:dyDescent="0.2">
      <c r="B19" s="27"/>
      <c r="C19" s="27"/>
      <c r="D19" s="27"/>
      <c r="E19" s="27"/>
      <c r="F19" s="27"/>
      <c r="G19" s="27"/>
      <c r="H19" s="30"/>
      <c r="J19" s="29"/>
      <c r="K19" s="9"/>
      <c r="L19" s="5"/>
      <c r="M19" s="5"/>
      <c r="N19" s="18"/>
      <c r="O19" s="76"/>
      <c r="P19" s="58"/>
    </row>
    <row r="20" spans="2:18" x14ac:dyDescent="0.2">
      <c r="B20" s="29"/>
      <c r="C20" s="29"/>
      <c r="D20" s="29"/>
      <c r="E20" s="29"/>
      <c r="F20" s="29"/>
      <c r="G20" s="29"/>
      <c r="H20" s="28"/>
      <c r="J20" s="29"/>
      <c r="K20" s="9"/>
      <c r="L20" s="5"/>
      <c r="M20" s="5"/>
      <c r="N20" s="18"/>
      <c r="O20" s="76"/>
      <c r="P20" s="58"/>
    </row>
    <row r="21" spans="2:18" x14ac:dyDescent="0.2">
      <c r="B21" s="29"/>
      <c r="C21" s="29"/>
      <c r="D21" s="29"/>
      <c r="E21" s="29"/>
      <c r="F21" s="29"/>
      <c r="G21" s="29"/>
      <c r="H21" s="28"/>
      <c r="J21" s="29"/>
      <c r="K21" s="9"/>
      <c r="L21" s="5"/>
      <c r="M21" s="5"/>
      <c r="N21" s="18"/>
      <c r="O21" s="76"/>
      <c r="P21" s="58"/>
    </row>
    <row r="22" spans="2:18" x14ac:dyDescent="0.2">
      <c r="B22" s="29"/>
      <c r="C22" s="29"/>
      <c r="D22" s="29"/>
      <c r="E22" s="29"/>
      <c r="F22" s="29"/>
      <c r="G22" s="29"/>
      <c r="H22" s="28"/>
      <c r="J22" s="29"/>
      <c r="K22" s="9"/>
      <c r="L22" s="5"/>
      <c r="M22" s="5"/>
      <c r="N22" s="18"/>
      <c r="O22" s="76"/>
      <c r="P22" s="58"/>
    </row>
    <row r="23" spans="2:18" ht="13.5" thickBot="1" x14ac:dyDescent="0.25">
      <c r="B23" s="25"/>
      <c r="C23" s="25"/>
      <c r="D23" s="25"/>
      <c r="E23" s="25"/>
      <c r="F23" s="25"/>
      <c r="G23" s="25"/>
      <c r="H23" s="26"/>
      <c r="J23" s="29"/>
      <c r="K23" s="9"/>
      <c r="L23" s="5"/>
      <c r="M23" s="5"/>
      <c r="N23" s="18"/>
      <c r="O23" s="76"/>
      <c r="P23" s="58"/>
    </row>
    <row r="24" spans="2:18" x14ac:dyDescent="0.2">
      <c r="J24" s="29"/>
      <c r="K24" s="9"/>
      <c r="L24" s="5"/>
      <c r="M24" s="5"/>
      <c r="N24" s="18"/>
      <c r="O24" s="76"/>
      <c r="P24" s="58"/>
    </row>
    <row r="25" spans="2:18" x14ac:dyDescent="0.2">
      <c r="J25" s="29"/>
      <c r="K25" s="9"/>
      <c r="L25" s="5"/>
      <c r="M25" s="5"/>
      <c r="N25" s="18"/>
      <c r="O25" s="76"/>
      <c r="P25" s="58"/>
    </row>
    <row r="26" spans="2:18" ht="13.5" thickBot="1" x14ac:dyDescent="0.25">
      <c r="J26" s="29"/>
      <c r="K26" s="9"/>
      <c r="L26" s="5"/>
      <c r="M26" s="5"/>
      <c r="N26" s="18"/>
      <c r="O26" s="76"/>
      <c r="P26" s="58"/>
    </row>
    <row r="27" spans="2:18" ht="15.75" thickBot="1" x14ac:dyDescent="0.3">
      <c r="C27" s="102" t="s">
        <v>24</v>
      </c>
      <c r="D27" s="87"/>
      <c r="E27" s="87"/>
      <c r="F27" s="87"/>
      <c r="G27" s="87"/>
      <c r="H27" s="88"/>
      <c r="J27" s="29"/>
      <c r="K27" s="9"/>
      <c r="L27" s="5"/>
      <c r="M27" s="5"/>
      <c r="N27" s="18"/>
      <c r="O27" s="76"/>
      <c r="P27" s="58"/>
    </row>
    <row r="28" spans="2:18" ht="15.75" thickBot="1" x14ac:dyDescent="0.3">
      <c r="C28" s="92" t="s">
        <v>19</v>
      </c>
      <c r="D28" s="93"/>
      <c r="E28" s="93"/>
      <c r="F28" s="93"/>
      <c r="G28" s="93"/>
      <c r="H28" s="94"/>
      <c r="J28" s="25"/>
      <c r="K28" s="10"/>
      <c r="L28" s="11"/>
      <c r="M28" s="11"/>
      <c r="N28" s="3"/>
      <c r="O28" s="77"/>
      <c r="P28" s="2"/>
    </row>
    <row r="29" spans="2:18" ht="15" x14ac:dyDescent="0.25">
      <c r="C29" s="83" t="s">
        <v>20</v>
      </c>
      <c r="D29" s="84"/>
      <c r="E29" s="84"/>
      <c r="F29" s="84"/>
      <c r="G29" s="84"/>
      <c r="H29" s="85"/>
    </row>
    <row r="30" spans="2:18" ht="15.75" thickBot="1" x14ac:dyDescent="0.3">
      <c r="C30" s="95" t="s">
        <v>21</v>
      </c>
      <c r="D30" s="96"/>
      <c r="E30" s="96"/>
      <c r="F30" s="96"/>
      <c r="G30" s="96"/>
      <c r="H30" s="97"/>
    </row>
    <row r="31" spans="2:18" ht="15.75" thickBot="1" x14ac:dyDescent="0.25">
      <c r="B31" s="98" t="s">
        <v>23</v>
      </c>
      <c r="C31" s="36" t="s">
        <v>16</v>
      </c>
      <c r="D31" s="24">
        <v>1</v>
      </c>
      <c r="E31" s="36" t="s">
        <v>17</v>
      </c>
      <c r="F31" s="24">
        <v>2.33</v>
      </c>
      <c r="G31" s="100"/>
      <c r="H31" s="101"/>
    </row>
    <row r="32" spans="2:18" ht="15.75" thickBot="1" x14ac:dyDescent="0.3">
      <c r="B32" s="99"/>
      <c r="C32" s="32" t="s">
        <v>4</v>
      </c>
      <c r="D32" s="32" t="s">
        <v>0</v>
      </c>
      <c r="E32" s="32" t="s">
        <v>1</v>
      </c>
      <c r="F32" s="32" t="s">
        <v>2</v>
      </c>
      <c r="G32" s="32" t="s">
        <v>3</v>
      </c>
      <c r="H32" s="32" t="s">
        <v>18</v>
      </c>
      <c r="J32" s="89" t="s">
        <v>22</v>
      </c>
      <c r="K32" s="90"/>
      <c r="L32" s="90"/>
      <c r="M32" s="90"/>
      <c r="N32" s="90"/>
      <c r="O32" s="91"/>
      <c r="Q32">
        <v>4</v>
      </c>
      <c r="R32">
        <v>54.006989155490601</v>
      </c>
    </row>
    <row r="33" spans="2:18" ht="13.5" thickBot="1" x14ac:dyDescent="0.25">
      <c r="B33" s="31">
        <v>1</v>
      </c>
      <c r="C33" s="25">
        <v>0</v>
      </c>
      <c r="D33" s="25">
        <f>$D$6</f>
        <v>0</v>
      </c>
      <c r="E33" s="25">
        <f>$F$6</f>
        <v>85</v>
      </c>
      <c r="F33" s="25" cm="1">
        <f t="array" ref="F33">B33*FXY(D33,E33)</f>
        <v>-12</v>
      </c>
      <c r="G33" s="25" cm="1">
        <f t="array" ref="G33">B33*FXY(D33+B33,E33+F33)</f>
        <v>-9.1432196065726075</v>
      </c>
      <c r="H33" s="26">
        <f>E33+(1/2)*(F33+G33)</f>
        <v>74.428390196713693</v>
      </c>
      <c r="J33" s="103">
        <v>4</v>
      </c>
      <c r="K33" s="104"/>
      <c r="L33" s="105">
        <v>5</v>
      </c>
      <c r="M33" s="104"/>
      <c r="N33" s="105">
        <v>6</v>
      </c>
      <c r="O33" s="106"/>
      <c r="Q33">
        <v>5</v>
      </c>
      <c r="R33">
        <v>49.611033027983197</v>
      </c>
    </row>
    <row r="34" spans="2:18" ht="13.5" thickBot="1" x14ac:dyDescent="0.25">
      <c r="B34" s="27">
        <v>1</v>
      </c>
      <c r="C34" s="27">
        <f>C33+1</f>
        <v>1</v>
      </c>
      <c r="D34" s="27">
        <f>D33+B33</f>
        <v>1</v>
      </c>
      <c r="E34" s="29">
        <f>H33</f>
        <v>74.428390196713693</v>
      </c>
      <c r="F34" s="27" cm="1">
        <f t="array" ref="F34">B34*FXY(D34,E34)</f>
        <v>-9.4153047159982055</v>
      </c>
      <c r="G34" s="27" cm="1">
        <f t="array" ref="G34">B34*FXY(D34+B34,E34+F34)</f>
        <v>-7.2773029089315333</v>
      </c>
      <c r="H34" s="28">
        <f t="shared" ref="H34:H37" si="9">E34+(1/2)*(F34+G34)</f>
        <v>66.082086384248825</v>
      </c>
      <c r="J34" s="107">
        <v>54.006989155490601</v>
      </c>
      <c r="K34" s="108"/>
      <c r="L34" s="109">
        <v>49.611033027983197</v>
      </c>
      <c r="M34" s="108"/>
      <c r="N34" s="109">
        <v>45.939104600549598</v>
      </c>
      <c r="O34" s="110"/>
      <c r="Q34">
        <v>6</v>
      </c>
      <c r="R34">
        <v>45.939104600549598</v>
      </c>
    </row>
    <row r="35" spans="2:18" ht="15.75" thickBot="1" x14ac:dyDescent="0.3">
      <c r="B35" s="29">
        <v>0.45</v>
      </c>
      <c r="C35" s="29">
        <f>C34+1</f>
        <v>2</v>
      </c>
      <c r="D35" s="29">
        <f t="shared" ref="D35:D37" si="10">D34+B34</f>
        <v>2</v>
      </c>
      <c r="E35" s="29">
        <f t="shared" ref="E35:E37" si="11">H34</f>
        <v>66.082086384248825</v>
      </c>
      <c r="F35" s="29" cm="1">
        <f t="array" ref="F35">B35*FXY(D35,E35)</f>
        <v>-3.3622764258437807</v>
      </c>
      <c r="G35" s="29" cm="1">
        <f t="array" ref="G35">B35*FXY(D35+B35,E35+F35)</f>
        <v>-3.0259474377511268</v>
      </c>
      <c r="H35" s="28">
        <f t="shared" si="9"/>
        <v>62.887974452451374</v>
      </c>
      <c r="K35" s="111">
        <f>(L34-J34)/(L33-J33)</f>
        <v>-4.3959561275074037</v>
      </c>
      <c r="L35" s="112"/>
      <c r="M35" s="111">
        <f>(N34-L34)/(N33-L33)</f>
        <v>-3.671928427433599</v>
      </c>
      <c r="N35" s="112"/>
      <c r="O35" s="1"/>
    </row>
    <row r="36" spans="2:18" ht="15.75" thickBot="1" x14ac:dyDescent="0.3">
      <c r="B36" s="29">
        <v>0.55000000000000004</v>
      </c>
      <c r="C36" s="29">
        <f t="shared" ref="C36:C37" si="12">C35+1</f>
        <v>3</v>
      </c>
      <c r="D36" s="29">
        <f t="shared" si="10"/>
        <v>2.4500000000000002</v>
      </c>
      <c r="E36" s="29">
        <f t="shared" si="11"/>
        <v>62.887974452451374</v>
      </c>
      <c r="F36" s="29" cm="1">
        <f t="array" ref="F36">B36*FXY(D36,E36)</f>
        <v>-3.7148685200647371</v>
      </c>
      <c r="G36" s="29" cm="1">
        <f t="array" ref="G36">B36*FXY(D36+B36,E36+F36)</f>
        <v>-3.2719041005411835</v>
      </c>
      <c r="H36" s="28">
        <f t="shared" si="9"/>
        <v>59.394588142148415</v>
      </c>
      <c r="L36" s="111">
        <f>(N33-J33)/(M35-K35)</f>
        <v>2.7623252532964244</v>
      </c>
      <c r="M36" s="112"/>
    </row>
    <row r="37" spans="2:18" x14ac:dyDescent="0.2">
      <c r="B37" s="29">
        <v>1</v>
      </c>
      <c r="C37" s="29">
        <f t="shared" si="12"/>
        <v>4</v>
      </c>
      <c r="D37" s="29">
        <f t="shared" si="10"/>
        <v>3</v>
      </c>
      <c r="E37" s="29">
        <f t="shared" si="11"/>
        <v>59.394588142148415</v>
      </c>
      <c r="F37" s="29" cm="1">
        <f t="array" ref="F37">B37*FXY(D37,E37)</f>
        <v>-5.9874725730695308</v>
      </c>
      <c r="G37" s="29" cm="1">
        <f t="array" ref="G37">B37*FXY(D37+B37,E37+F37)</f>
        <v>-4.7448974585083565</v>
      </c>
      <c r="H37" s="28">
        <f t="shared" si="9"/>
        <v>54.028403126359471</v>
      </c>
    </row>
    <row r="38" spans="2:18" ht="13.5" thickBot="1" x14ac:dyDescent="0.25">
      <c r="B38" s="29"/>
      <c r="C38" s="29"/>
      <c r="D38" s="29"/>
      <c r="E38" s="29"/>
      <c r="F38" s="29"/>
      <c r="G38" s="29"/>
      <c r="H38" s="28"/>
    </row>
    <row r="39" spans="2:18" ht="15.75" thickBot="1" x14ac:dyDescent="0.3">
      <c r="B39" s="27"/>
      <c r="C39" s="27"/>
      <c r="D39" s="27"/>
      <c r="E39" s="27"/>
      <c r="F39" s="27"/>
      <c r="G39" s="27"/>
      <c r="H39" s="30"/>
      <c r="J39" s="89" t="s">
        <v>40</v>
      </c>
      <c r="K39" s="90"/>
      <c r="L39" s="90"/>
      <c r="M39" s="90"/>
      <c r="N39" s="91"/>
      <c r="O39" s="89" t="s">
        <v>39</v>
      </c>
      <c r="P39" s="91"/>
      <c r="Q39" s="113">
        <v>50</v>
      </c>
      <c r="R39" s="114"/>
    </row>
    <row r="40" spans="2:18" ht="13.5" thickBot="1" x14ac:dyDescent="0.25">
      <c r="B40" s="29"/>
      <c r="C40" s="29"/>
      <c r="D40" s="29"/>
      <c r="E40" s="29"/>
      <c r="F40" s="29"/>
      <c r="G40" s="29"/>
      <c r="H40" s="28"/>
      <c r="J40" s="113" t="str">
        <f>SUBSTITUTE(_xlfn.CONCAT("solve ",Q39," = ",J34, " + (", K35, ") * (t - ", J33, ") + (", L36,") * (t -",J33,") * (t - ", L33, ")"), ",", ".")</f>
        <v>solve 50 = 54.0069891554906 + (-4.3959561275074) * (t - 4) + (2.76232525329642) * (t -4) * (t - 5)</v>
      </c>
      <c r="K40" s="115"/>
      <c r="L40" s="115"/>
      <c r="M40" s="115"/>
      <c r="N40" s="115"/>
      <c r="O40" s="115"/>
      <c r="P40" s="115"/>
      <c r="Q40" s="115"/>
      <c r="R40" s="114"/>
    </row>
    <row r="41" spans="2:18" x14ac:dyDescent="0.2">
      <c r="B41" s="29"/>
      <c r="C41" s="29"/>
      <c r="D41" s="29"/>
      <c r="E41" s="29"/>
      <c r="F41" s="29"/>
      <c r="G41" s="29"/>
      <c r="H41" s="28"/>
    </row>
    <row r="42" spans="2:18" x14ac:dyDescent="0.2">
      <c r="B42" s="29"/>
      <c r="C42" s="29"/>
      <c r="D42" s="29"/>
      <c r="E42" s="29"/>
      <c r="F42" s="29"/>
      <c r="G42" s="29"/>
      <c r="H42" s="28"/>
    </row>
    <row r="43" spans="2:18" ht="13.5" thickBot="1" x14ac:dyDescent="0.25">
      <c r="B43" s="25"/>
      <c r="C43" s="25"/>
      <c r="D43" s="25"/>
      <c r="E43" s="25"/>
      <c r="F43" s="25"/>
      <c r="G43" s="25"/>
      <c r="H43" s="26"/>
    </row>
    <row r="44" spans="2:18" x14ac:dyDescent="0.2">
      <c r="B44" s="27"/>
      <c r="C44" s="27"/>
      <c r="D44" s="27"/>
      <c r="E44" s="27"/>
      <c r="F44" s="27"/>
      <c r="G44" s="27"/>
      <c r="H44" s="30"/>
    </row>
    <row r="45" spans="2:18" ht="15.75" customHeight="1" x14ac:dyDescent="0.2">
      <c r="B45" s="29"/>
      <c r="C45" s="29"/>
      <c r="D45" s="29"/>
      <c r="E45" s="29"/>
      <c r="F45" s="29"/>
      <c r="G45" s="29"/>
      <c r="H45" s="28"/>
      <c r="J45" s="82" t="s">
        <v>53</v>
      </c>
    </row>
    <row r="46" spans="2:18" x14ac:dyDescent="0.2">
      <c r="B46" s="29"/>
      <c r="C46" s="29"/>
      <c r="D46" s="29"/>
      <c r="E46" s="29"/>
      <c r="F46" s="29"/>
      <c r="G46" s="29"/>
      <c r="H46" s="28"/>
      <c r="J46" s="81" t="s">
        <v>45</v>
      </c>
    </row>
    <row r="47" spans="2:18" x14ac:dyDescent="0.2">
      <c r="B47" s="29"/>
      <c r="C47" s="29"/>
      <c r="D47" s="29"/>
      <c r="E47" s="29"/>
      <c r="F47" s="29"/>
      <c r="G47" s="29"/>
      <c r="H47" s="28"/>
    </row>
    <row r="48" spans="2:18" ht="13.5" thickBot="1" x14ac:dyDescent="0.25">
      <c r="B48" s="25"/>
      <c r="C48" s="25"/>
      <c r="D48" s="25"/>
      <c r="E48" s="25"/>
      <c r="F48" s="25"/>
      <c r="G48" s="25"/>
      <c r="H48" s="26"/>
      <c r="O48" t="s">
        <v>52</v>
      </c>
    </row>
    <row r="50" spans="2:8" ht="13.5" thickBot="1" x14ac:dyDescent="0.25"/>
    <row r="51" spans="2:8" ht="15.75" thickBot="1" x14ac:dyDescent="0.3">
      <c r="B51" s="116" t="s">
        <v>25</v>
      </c>
      <c r="C51" s="117"/>
      <c r="D51" s="117"/>
      <c r="E51" s="117"/>
      <c r="F51" s="117"/>
      <c r="G51" s="117"/>
      <c r="H51" s="118"/>
    </row>
    <row r="52" spans="2:8" ht="15" x14ac:dyDescent="0.25">
      <c r="B52" s="65"/>
      <c r="C52" s="66" t="s">
        <v>31</v>
      </c>
      <c r="D52" s="66" t="s">
        <v>32</v>
      </c>
      <c r="E52" s="66" t="s">
        <v>30</v>
      </c>
      <c r="F52" s="66" t="s">
        <v>42</v>
      </c>
      <c r="G52" s="66" t="s">
        <v>43</v>
      </c>
      <c r="H52" s="67" t="s">
        <v>35</v>
      </c>
    </row>
    <row r="53" spans="2:8" ht="13.5" thickBot="1" x14ac:dyDescent="0.25">
      <c r="B53" s="59"/>
      <c r="C53" s="22">
        <v>0.5</v>
      </c>
      <c r="D53" s="22">
        <v>0.5</v>
      </c>
      <c r="E53" s="22">
        <v>1</v>
      </c>
      <c r="F53" s="22">
        <v>59.394588142148415</v>
      </c>
      <c r="G53" s="22">
        <v>59.420747247809416</v>
      </c>
      <c r="H53" s="23">
        <v>2</v>
      </c>
    </row>
    <row r="54" spans="2:8" ht="15.75" thickBot="1" x14ac:dyDescent="0.3">
      <c r="B54" s="61"/>
      <c r="C54" s="63"/>
      <c r="D54" s="63"/>
      <c r="E54" s="63"/>
      <c r="F54" s="63"/>
      <c r="G54" s="63"/>
      <c r="H54" s="64"/>
    </row>
    <row r="55" spans="2:8" ht="15.75" thickBot="1" x14ac:dyDescent="0.3">
      <c r="B55" s="62" t="s">
        <v>36</v>
      </c>
      <c r="C55" s="60">
        <f>((2^H53)/(1-2^H53))*(G53-F53)</f>
        <v>-3.4878807548002058E-2</v>
      </c>
      <c r="D55" s="62" t="s">
        <v>37</v>
      </c>
      <c r="E55" s="60">
        <f>(0.7425)*(F53-G53)</f>
        <v>-1.942313595329365E-2</v>
      </c>
      <c r="F55" s="89" t="s">
        <v>38</v>
      </c>
      <c r="G55" s="91"/>
      <c r="H55" s="4">
        <f>F53+C55</f>
        <v>59.35970933460041</v>
      </c>
    </row>
  </sheetData>
  <mergeCells count="31">
    <mergeCell ref="J39:N39"/>
    <mergeCell ref="O39:P39"/>
    <mergeCell ref="Q39:R39"/>
    <mergeCell ref="J40:R40"/>
    <mergeCell ref="B51:H51"/>
    <mergeCell ref="F55:G55"/>
    <mergeCell ref="J34:K34"/>
    <mergeCell ref="L34:M34"/>
    <mergeCell ref="N34:O34"/>
    <mergeCell ref="K35:L35"/>
    <mergeCell ref="M35:N35"/>
    <mergeCell ref="L36:M36"/>
    <mergeCell ref="C30:H30"/>
    <mergeCell ref="B31:B32"/>
    <mergeCell ref="G31:H31"/>
    <mergeCell ref="J32:O32"/>
    <mergeCell ref="J33:K33"/>
    <mergeCell ref="L33:M33"/>
    <mergeCell ref="N33:O33"/>
    <mergeCell ref="B6:B7"/>
    <mergeCell ref="G6:H6"/>
    <mergeCell ref="K9:O9"/>
    <mergeCell ref="C27:H27"/>
    <mergeCell ref="C28:H28"/>
    <mergeCell ref="C29:H29"/>
    <mergeCell ref="C2:H2"/>
    <mergeCell ref="K2:N2"/>
    <mergeCell ref="C3:H3"/>
    <mergeCell ref="K3:N3"/>
    <mergeCell ref="C4:H4"/>
    <mergeCell ref="C5:H5"/>
  </mergeCells>
  <hyperlinks>
    <hyperlink ref="J46" r:id="rId1" xr:uid="{DF47D17E-85D5-4B76-B979-EFE931DBEC45}"/>
  </hyperlinks>
  <pageMargins left="0.75" right="0.75" top="1" bottom="1" header="0.5" footer="0.5"/>
  <pageSetup orientation="portrait" horizontalDpi="300" verticalDpi="30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Template</vt:lpstr>
      <vt:lpstr>5 - Página 22</vt:lpstr>
      <vt:lpstr>10 - Página 23</vt:lpstr>
      <vt:lpstr>4 - Página 24</vt:lpstr>
      <vt:lpstr>3 - Página 26</vt:lpstr>
      <vt:lpstr>5 - Página 30</vt:lpstr>
      <vt:lpstr>5 - Página 31</vt:lpstr>
      <vt:lpstr>2 - Página 32</vt:lpstr>
      <vt:lpstr>6 - Página 36</vt:lpstr>
      <vt:lpstr>7 - Página 38</vt:lpstr>
      <vt:lpstr>8 - Página 40</vt:lpstr>
    </vt:vector>
  </TitlesOfParts>
  <Company>SDSU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SDSU</dc:creator>
  <cp:lastModifiedBy>Ramiro Olivencia</cp:lastModifiedBy>
  <dcterms:created xsi:type="dcterms:W3CDTF">1999-10-28T21:45:53Z</dcterms:created>
  <dcterms:modified xsi:type="dcterms:W3CDTF">2021-04-24T05:47:51Z</dcterms:modified>
</cp:coreProperties>
</file>