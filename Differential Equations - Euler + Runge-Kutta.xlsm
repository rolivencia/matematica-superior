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baf62a2830c877/UTN/Matemática Superior/"/>
    </mc:Choice>
  </mc:AlternateContent>
  <xr:revisionPtr revIDLastSave="352" documentId="13_ncr:4000b_{9642FEC0-5592-4480-A205-450D90C089B3}" xr6:coauthVersionLast="45" xr6:coauthVersionMax="45" xr10:uidLastSave="{AD013A2B-DBEC-402A-92B0-CFD9398D401F}"/>
  <bookViews>
    <workbookView xWindow="49425" yWindow="5325" windowWidth="2400" windowHeight="585" xr2:uid="{00000000-000D-0000-FFFF-FFFF00000000}"/>
  </bookViews>
  <sheets>
    <sheet name="RK2 - RK4" sheetId="4" r:id="rId1"/>
  </sheets>
  <functionGroups builtInGroupCount="19"/>
  <externalReferences>
    <externalReference r:id="rId2"/>
  </externalReferences>
  <definedNames>
    <definedName name="h" localSheetId="0">'RK2 - RK4'!$P$7</definedName>
    <definedName name="h">[1]Euler!$G$4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7" i="4" l="1"/>
  <c r="V7" i="4"/>
  <c r="T9" i="4" s="1"/>
  <c r="T7" i="4"/>
  <c r="S9" i="4" s="1"/>
  <c r="N7" i="4"/>
  <c r="L7" i="4"/>
  <c r="E7" i="4"/>
  <c r="G7" i="4"/>
  <c r="P7" i="4" l="1"/>
  <c r="C42" i="4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D10" i="4" l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L9" i="4" l="1"/>
  <c r="M9" i="4"/>
  <c r="C35" i="4" s="1"/>
  <c r="K10" i="4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E9" i="4"/>
  <c r="C10" i="4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7" i="4" a="1"/>
  <c r="F9" i="4" a="1"/>
  <c r="U9" i="4" a="1"/>
  <c r="O9" i="4" a="1"/>
  <c r="C37" i="4" l="1"/>
  <c r="N9" i="4"/>
  <c r="L10" i="4"/>
  <c r="U9" i="4"/>
  <c r="O9" i="4"/>
  <c r="F9" i="4"/>
  <c r="G9" i="4" s="1"/>
  <c r="E10" i="4" s="1"/>
  <c r="R10" i="4"/>
  <c r="R11" i="4" s="1"/>
  <c r="R12" i="4" s="1"/>
  <c r="R13" i="4" s="1"/>
  <c r="R14" i="4" s="1"/>
  <c r="R15" i="4" s="1"/>
  <c r="R16" i="4" s="1"/>
  <c r="R17" i="4" s="1"/>
  <c r="R18" i="4" s="1"/>
  <c r="R19" i="4" s="1"/>
  <c r="S10" i="4"/>
  <c r="F10" i="4" a="1"/>
  <c r="P9" i="4" a="1"/>
  <c r="V9" i="4" a="1"/>
  <c r="S11" i="4" l="1"/>
  <c r="S12" i="4" s="1"/>
  <c r="S13" i="4" s="1"/>
  <c r="S14" i="4" s="1"/>
  <c r="S15" i="4" s="1"/>
  <c r="S16" i="4" s="1"/>
  <c r="S17" i="4" s="1"/>
  <c r="S18" i="4" s="1"/>
  <c r="S19" i="4" s="1"/>
  <c r="N10" i="4"/>
  <c r="L11" i="4"/>
  <c r="P9" i="4"/>
  <c r="M10" i="4" s="1"/>
  <c r="V9" i="4"/>
  <c r="F10" i="4"/>
  <c r="G10" i="4" s="1"/>
  <c r="D37" i="4" a="1"/>
  <c r="W9" i="4" a="1"/>
  <c r="D37" i="4" l="1"/>
  <c r="D35" i="4"/>
  <c r="N11" i="4"/>
  <c r="L12" i="4"/>
  <c r="D41" i="4" s="1"/>
  <c r="W9" i="4"/>
  <c r="E11" i="4"/>
  <c r="O10" i="4" a="1"/>
  <c r="F11" i="4" a="1"/>
  <c r="D42" i="4" l="1"/>
  <c r="N12" i="4"/>
  <c r="L13" i="4"/>
  <c r="O10" i="4"/>
  <c r="F11" i="4"/>
  <c r="G11" i="4" s="1"/>
  <c r="X9" i="4" a="1"/>
  <c r="P10" i="4" a="1"/>
  <c r="D43" i="4" l="1"/>
  <c r="N13" i="4"/>
  <c r="L14" i="4"/>
  <c r="P10" i="4"/>
  <c r="M11" i="4" s="1"/>
  <c r="E12" i="4"/>
  <c r="X9" i="4"/>
  <c r="Y9" i="4" s="1"/>
  <c r="T10" i="4" s="1"/>
  <c r="U10" i="4" a="1"/>
  <c r="F12" i="4" a="1"/>
  <c r="E37" i="4" a="1"/>
  <c r="D44" i="4" l="1"/>
  <c r="N14" i="4"/>
  <c r="E37" i="4"/>
  <c r="E35" i="4"/>
  <c r="L15" i="4"/>
  <c r="F12" i="4"/>
  <c r="G12" i="4" s="1"/>
  <c r="E13" i="4" s="1"/>
  <c r="U10" i="4"/>
  <c r="V10" i="4" a="1"/>
  <c r="O11" i="4" a="1"/>
  <c r="F13" i="4" a="1"/>
  <c r="D45" i="4" l="1"/>
  <c r="L16" i="4"/>
  <c r="L17" i="4" s="1"/>
  <c r="N15" i="4"/>
  <c r="O11" i="4"/>
  <c r="F13" i="4"/>
  <c r="G13" i="4"/>
  <c r="E14" i="4" s="1"/>
  <c r="V10" i="4"/>
  <c r="W10" i="4" a="1"/>
  <c r="P11" i="4" a="1"/>
  <c r="F14" i="4" a="1"/>
  <c r="D46" i="4" l="1"/>
  <c r="L18" i="4"/>
  <c r="N17" i="4"/>
  <c r="N16" i="4"/>
  <c r="P11" i="4"/>
  <c r="M12" i="4" s="1"/>
  <c r="L19" i="4"/>
  <c r="L20" i="4" s="1"/>
  <c r="N18" i="4"/>
  <c r="F14" i="4"/>
  <c r="G14" i="4"/>
  <c r="E15" i="4" s="1"/>
  <c r="W10" i="4"/>
  <c r="X10" i="4" a="1"/>
  <c r="F15" i="4" a="1"/>
  <c r="F37" i="4" a="1"/>
  <c r="L21" i="4" l="1"/>
  <c r="N20" i="4"/>
  <c r="D47" i="4"/>
  <c r="N19" i="4"/>
  <c r="F37" i="4"/>
  <c r="F35" i="4"/>
  <c r="F15" i="4"/>
  <c r="G15" i="4" s="1"/>
  <c r="E16" i="4" s="1"/>
  <c r="X10" i="4"/>
  <c r="Y10" i="4"/>
  <c r="T11" i="4" s="1"/>
  <c r="U11" i="4" a="1"/>
  <c r="O12" i="4" a="1"/>
  <c r="F16" i="4" a="1"/>
  <c r="L22" i="4" l="1"/>
  <c r="N21" i="4"/>
  <c r="D48" i="4"/>
  <c r="E41" i="4"/>
  <c r="O12" i="4"/>
  <c r="F16" i="4"/>
  <c r="G16" i="4"/>
  <c r="E17" i="4" s="1"/>
  <c r="U11" i="4"/>
  <c r="P12" i="4" a="1"/>
  <c r="F17" i="4" a="1"/>
  <c r="V11" i="4" a="1"/>
  <c r="N22" i="4" l="1"/>
  <c r="L23" i="4"/>
  <c r="F41" i="4"/>
  <c r="I41" i="4" s="1"/>
  <c r="D49" i="4"/>
  <c r="P12" i="4"/>
  <c r="M13" i="4" s="1"/>
  <c r="F17" i="4"/>
  <c r="G17" i="4" s="1"/>
  <c r="E18" i="4" s="1"/>
  <c r="V11" i="4"/>
  <c r="G41" i="4" a="1"/>
  <c r="W11" i="4" a="1"/>
  <c r="F18" i="4" a="1"/>
  <c r="L24" i="4" l="1"/>
  <c r="N23" i="4"/>
  <c r="G41" i="4"/>
  <c r="D50" i="4"/>
  <c r="E42" i="4"/>
  <c r="F18" i="4"/>
  <c r="G18" i="4" s="1"/>
  <c r="E19" i="4" s="1"/>
  <c r="W11" i="4"/>
  <c r="X11" i="4" a="1"/>
  <c r="O13" i="4" a="1"/>
  <c r="F19" i="4" a="1"/>
  <c r="L25" i="4" l="1"/>
  <c r="N24" i="4"/>
  <c r="F42" i="4"/>
  <c r="I42" i="4" s="1"/>
  <c r="D51" i="4"/>
  <c r="O13" i="4"/>
  <c r="F19" i="4"/>
  <c r="G19" i="4" s="1"/>
  <c r="E20" i="4" s="1"/>
  <c r="X11" i="4"/>
  <c r="Y11" i="4" s="1"/>
  <c r="T12" i="4" s="1"/>
  <c r="G42" i="4" a="1"/>
  <c r="P13" i="4" a="1"/>
  <c r="F20" i="4" a="1"/>
  <c r="U12" i="4" a="1"/>
  <c r="L26" i="4" l="1"/>
  <c r="N25" i="4"/>
  <c r="G42" i="4"/>
  <c r="D52" i="4"/>
  <c r="P13" i="4"/>
  <c r="M14" i="4" s="1"/>
  <c r="F20" i="4"/>
  <c r="G20" i="4" s="1"/>
  <c r="E21" i="4" s="1"/>
  <c r="U12" i="4"/>
  <c r="V12" i="4" a="1"/>
  <c r="F21" i="4" a="1"/>
  <c r="N26" i="4" l="1"/>
  <c r="L27" i="4"/>
  <c r="D53" i="4"/>
  <c r="E43" i="4"/>
  <c r="F21" i="4"/>
  <c r="G21" i="4" s="1"/>
  <c r="E22" i="4" s="1"/>
  <c r="V12" i="4"/>
  <c r="F22" i="4" a="1"/>
  <c r="O14" i="4" a="1"/>
  <c r="W12" i="4" a="1"/>
  <c r="L28" i="4" l="1"/>
  <c r="N27" i="4"/>
  <c r="F43" i="4"/>
  <c r="I43" i="4" s="1"/>
  <c r="D54" i="4"/>
  <c r="D55" i="4" s="1"/>
  <c r="D56" i="4" s="1"/>
  <c r="D57" i="4" s="1"/>
  <c r="O14" i="4"/>
  <c r="F22" i="4"/>
  <c r="G22" i="4"/>
  <c r="E23" i="4" s="1"/>
  <c r="W12" i="4"/>
  <c r="G43" i="4" a="1"/>
  <c r="F23" i="4" a="1"/>
  <c r="P14" i="4" a="1"/>
  <c r="X12" i="4" a="1"/>
  <c r="N28" i="4" l="1"/>
  <c r="L29" i="4"/>
  <c r="G43" i="4"/>
  <c r="P14" i="4"/>
  <c r="M15" i="4" s="1"/>
  <c r="F23" i="4"/>
  <c r="G23" i="4" s="1"/>
  <c r="E24" i="4" s="1"/>
  <c r="X12" i="4"/>
  <c r="Y12" i="4" s="1"/>
  <c r="T13" i="4" s="1"/>
  <c r="U13" i="4" a="1"/>
  <c r="F24" i="4" a="1"/>
  <c r="N29" i="4" l="1"/>
  <c r="L30" i="4"/>
  <c r="E44" i="4"/>
  <c r="F44" i="4" s="1"/>
  <c r="I44" i="4" s="1"/>
  <c r="F24" i="4"/>
  <c r="G24" i="4" s="1"/>
  <c r="E25" i="4" s="1"/>
  <c r="U13" i="4"/>
  <c r="G44" i="4" a="1"/>
  <c r="V13" i="4" a="1"/>
  <c r="F25" i="4" a="1"/>
  <c r="O15" i="4" a="1"/>
  <c r="L31" i="4" l="1"/>
  <c r="N30" i="4"/>
  <c r="G44" i="4"/>
  <c r="O15" i="4"/>
  <c r="F25" i="4"/>
  <c r="G25" i="4" s="1"/>
  <c r="E26" i="4" s="1"/>
  <c r="V13" i="4"/>
  <c r="F26" i="4" a="1"/>
  <c r="W13" i="4" a="1"/>
  <c r="P15" i="4" a="1"/>
  <c r="N31" i="4" l="1"/>
  <c r="L32" i="4"/>
  <c r="E45" i="4"/>
  <c r="P15" i="4"/>
  <c r="M16" i="4" s="1"/>
  <c r="F26" i="4"/>
  <c r="G26" i="4" s="1"/>
  <c r="E27" i="4" s="1"/>
  <c r="W13" i="4"/>
  <c r="X13" i="4" a="1"/>
  <c r="F27" i="4" a="1"/>
  <c r="N32" i="4" l="1"/>
  <c r="L33" i="4"/>
  <c r="F45" i="4"/>
  <c r="I45" i="4" s="1"/>
  <c r="F27" i="4"/>
  <c r="G27" i="4" s="1"/>
  <c r="E28" i="4" s="1"/>
  <c r="X13" i="4"/>
  <c r="Y13" i="4" s="1"/>
  <c r="T14" i="4" s="1"/>
  <c r="G45" i="4" a="1"/>
  <c r="F28" i="4" a="1"/>
  <c r="U14" i="4" a="1"/>
  <c r="O16" i="4" a="1"/>
  <c r="N33" i="4" l="1"/>
  <c r="L34" i="4"/>
  <c r="N34" i="4" s="1"/>
  <c r="G45" i="4"/>
  <c r="O16" i="4"/>
  <c r="F28" i="4"/>
  <c r="G28" i="4"/>
  <c r="E29" i="4" s="1"/>
  <c r="U14" i="4"/>
  <c r="V14" i="4" a="1"/>
  <c r="P16" i="4" a="1"/>
  <c r="F29" i="4" a="1"/>
  <c r="E46" i="4" l="1"/>
  <c r="F46" i="4" s="1"/>
  <c r="I46" i="4" s="1"/>
  <c r="P16" i="4"/>
  <c r="M17" i="4" s="1"/>
  <c r="F29" i="4"/>
  <c r="G29" i="4"/>
  <c r="V14" i="4"/>
  <c r="G46" i="4" a="1"/>
  <c r="W14" i="4" a="1"/>
  <c r="G46" i="4" l="1"/>
  <c r="W14" i="4"/>
  <c r="X14" i="4" a="1"/>
  <c r="O17" i="4" a="1"/>
  <c r="E47" i="4" l="1"/>
  <c r="O17" i="4"/>
  <c r="X14" i="4"/>
  <c r="Y14" i="4" s="1"/>
  <c r="T15" i="4" s="1"/>
  <c r="P17" i="4" a="1"/>
  <c r="U15" i="4" a="1"/>
  <c r="F47" i="4" l="1"/>
  <c r="I47" i="4" s="1"/>
  <c r="P17" i="4"/>
  <c r="M18" i="4" s="1"/>
  <c r="U15" i="4"/>
  <c r="G47" i="4" a="1"/>
  <c r="V15" i="4" a="1"/>
  <c r="G47" i="4" l="1"/>
  <c r="V15" i="4"/>
  <c r="W15" i="4" a="1"/>
  <c r="O18" i="4" a="1"/>
  <c r="E48" i="4" l="1"/>
  <c r="O18" i="4"/>
  <c r="W15" i="4"/>
  <c r="X15" i="4" a="1"/>
  <c r="P18" i="4" a="1"/>
  <c r="F48" i="4" l="1"/>
  <c r="I48" i="4" s="1"/>
  <c r="P18" i="4"/>
  <c r="M19" i="4" s="1"/>
  <c r="X15" i="4"/>
  <c r="Y15" i="4" s="1"/>
  <c r="T16" i="4" s="1"/>
  <c r="G48" i="4" a="1"/>
  <c r="U16" i="4" a="1"/>
  <c r="G48" i="4" l="1"/>
  <c r="U16" i="4"/>
  <c r="V16" i="4" a="1"/>
  <c r="O19" i="4" a="1"/>
  <c r="E49" i="4" l="1"/>
  <c r="F49" i="4" s="1"/>
  <c r="I49" i="4" s="1"/>
  <c r="O19" i="4"/>
  <c r="V16" i="4"/>
  <c r="G49" i="4" a="1"/>
  <c r="W16" i="4" a="1"/>
  <c r="P19" i="4" a="1"/>
  <c r="G49" i="4" l="1"/>
  <c r="P19" i="4"/>
  <c r="M20" i="4" s="1"/>
  <c r="W16" i="4"/>
  <c r="O20" i="4" a="1"/>
  <c r="X16" i="4" a="1"/>
  <c r="O20" i="4" l="1"/>
  <c r="E50" i="4"/>
  <c r="F50" i="4"/>
  <c r="I50" i="4" s="1"/>
  <c r="X16" i="4"/>
  <c r="Y16" i="4" s="1"/>
  <c r="T17" i="4" s="1"/>
  <c r="P20" i="4" a="1"/>
  <c r="G50" i="4" a="1"/>
  <c r="U17" i="4" a="1"/>
  <c r="P20" i="4" l="1"/>
  <c r="M21" i="4" s="1"/>
  <c r="G50" i="4"/>
  <c r="U17" i="4"/>
  <c r="O21" i="4" a="1"/>
  <c r="V17" i="4" a="1"/>
  <c r="O21" i="4" l="1"/>
  <c r="E51" i="4"/>
  <c r="V17" i="4"/>
  <c r="P21" i="4" a="1"/>
  <c r="W17" i="4" a="1"/>
  <c r="P21" i="4" l="1"/>
  <c r="M22" i="4" s="1"/>
  <c r="F51" i="4"/>
  <c r="I51" i="4" s="1"/>
  <c r="W17" i="4"/>
  <c r="O22" i="4" a="1"/>
  <c r="G51" i="4" a="1"/>
  <c r="X17" i="4" a="1"/>
  <c r="O22" i="4" l="1"/>
  <c r="G51" i="4"/>
  <c r="X17" i="4"/>
  <c r="Y17" i="4" s="1"/>
  <c r="T18" i="4" s="1"/>
  <c r="P22" i="4" a="1"/>
  <c r="U18" i="4" a="1"/>
  <c r="P22" i="4" l="1"/>
  <c r="M23" i="4" s="1"/>
  <c r="E52" i="4"/>
  <c r="U18" i="4"/>
  <c r="O23" i="4" a="1"/>
  <c r="V18" i="4" a="1"/>
  <c r="O23" i="4" l="1"/>
  <c r="F52" i="4"/>
  <c r="I52" i="4" s="1"/>
  <c r="V18" i="4"/>
  <c r="P23" i="4" a="1"/>
  <c r="G52" i="4" a="1"/>
  <c r="W18" i="4" a="1"/>
  <c r="P23" i="4" l="1"/>
  <c r="M24" i="4" s="1"/>
  <c r="G52" i="4"/>
  <c r="W18" i="4"/>
  <c r="O24" i="4" a="1"/>
  <c r="X18" i="4" a="1"/>
  <c r="O24" i="4" l="1"/>
  <c r="E53" i="4"/>
  <c r="X18" i="4"/>
  <c r="Y18" i="4" s="1"/>
  <c r="T19" i="4" s="1"/>
  <c r="P24" i="4" a="1"/>
  <c r="U19" i="4" a="1"/>
  <c r="P24" i="4" l="1"/>
  <c r="M25" i="4" s="1"/>
  <c r="F53" i="4"/>
  <c r="I53" i="4" s="1"/>
  <c r="U19" i="4"/>
  <c r="O25" i="4" a="1"/>
  <c r="G53" i="4" a="1"/>
  <c r="V19" i="4" a="1"/>
  <c r="O25" i="4" l="1"/>
  <c r="G53" i="4"/>
  <c r="V19" i="4"/>
  <c r="P25" i="4" a="1"/>
  <c r="W19" i="4" a="1"/>
  <c r="P25" i="4" l="1"/>
  <c r="M26" i="4" s="1"/>
  <c r="E54" i="4"/>
  <c r="F54" i="4" s="1"/>
  <c r="I54" i="4" s="1"/>
  <c r="W19" i="4"/>
  <c r="O26" i="4" a="1"/>
  <c r="G54" i="4" a="1"/>
  <c r="X19" i="4" a="1"/>
  <c r="O26" i="4" l="1"/>
  <c r="G54" i="4"/>
  <c r="X19" i="4"/>
  <c r="Y19" i="4" s="1"/>
  <c r="P26" i="4" a="1"/>
  <c r="P26" i="4" l="1"/>
  <c r="M27" i="4" s="1"/>
  <c r="E55" i="4"/>
  <c r="O27" i="4" a="1"/>
  <c r="O27" i="4" l="1"/>
  <c r="F55" i="4"/>
  <c r="I55" i="4" s="1"/>
  <c r="P27" i="4" a="1"/>
  <c r="G55" i="4" a="1"/>
  <c r="P27" i="4" l="1"/>
  <c r="M28" i="4" s="1"/>
  <c r="G55" i="4"/>
  <c r="O28" i="4" a="1"/>
  <c r="O28" i="4" l="1"/>
  <c r="E56" i="4"/>
  <c r="F56" i="4" s="1"/>
  <c r="I56" i="4" s="1"/>
  <c r="P28" i="4" a="1"/>
  <c r="G56" i="4" a="1"/>
  <c r="P28" i="4" l="1"/>
  <c r="M29" i="4" s="1"/>
  <c r="G56" i="4"/>
  <c r="O29" i="4" a="1"/>
  <c r="O29" i="4" l="1"/>
  <c r="E57" i="4"/>
  <c r="F57" i="4" s="1"/>
  <c r="I57" i="4" s="1"/>
  <c r="P29" i="4" a="1"/>
  <c r="G57" i="4" a="1"/>
  <c r="P29" i="4" l="1"/>
  <c r="M30" i="4" s="1"/>
  <c r="G57" i="4"/>
  <c r="O30" i="4" a="1"/>
  <c r="O30" i="4" l="1"/>
  <c r="P30" i="4" a="1"/>
  <c r="P30" i="4" l="1"/>
  <c r="M31" i="4" s="1"/>
  <c r="O31" i="4" a="1"/>
  <c r="O31" i="4" l="1"/>
  <c r="P31" i="4" a="1"/>
  <c r="P31" i="4" l="1"/>
  <c r="M32" i="4" s="1"/>
  <c r="O32" i="4" a="1"/>
  <c r="O32" i="4" l="1"/>
  <c r="P32" i="4" a="1"/>
  <c r="P32" i="4" l="1"/>
  <c r="M33" i="4" s="1"/>
  <c r="O33" i="4" a="1"/>
  <c r="O33" i="4" l="1"/>
  <c r="P33" i="4" a="1"/>
  <c r="P33" i="4" l="1"/>
  <c r="M34" i="4" s="1"/>
  <c r="O34" i="4" a="1"/>
  <c r="O34" i="4" l="1"/>
  <c r="P34" i="4" a="1"/>
  <c r="P3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<sst xmlns="http://schemas.openxmlformats.org/spreadsheetml/2006/main" count="55" uniqueCount="40">
  <si>
    <t>Euler's Method</t>
  </si>
  <si>
    <t>x(n)</t>
  </si>
  <si>
    <t>y(n)</t>
  </si>
  <si>
    <t>f(x(n),y(n))</t>
  </si>
  <si>
    <t>h=</t>
  </si>
  <si>
    <t>x0 =</t>
  </si>
  <si>
    <t>y0 =</t>
  </si>
  <si>
    <t>y(n+1)=y(n) + h*f(x(n),y(n))</t>
  </si>
  <si>
    <t>Want to solve  y' = f(x,y)  with y(x0) = y0</t>
  </si>
  <si>
    <t>k1</t>
  </si>
  <si>
    <t>k2</t>
  </si>
  <si>
    <t>k3</t>
  </si>
  <si>
    <t>k4</t>
  </si>
  <si>
    <t>y(n+1) = y(n)+(h/6)*(k1 + 2*k2 + 2*k3 + k4)</t>
  </si>
  <si>
    <t>n</t>
  </si>
  <si>
    <t>Runge-Kutta Method - Order 2</t>
  </si>
  <si>
    <t>Runge-Kutta Method - Order 4</t>
  </si>
  <si>
    <t>x0</t>
  </si>
  <si>
    <t>y0</t>
  </si>
  <si>
    <t>y(n+1) = y(n)+h*f(x(n) + h/2, y + f(x(n), y(n))*(h/2))</t>
  </si>
  <si>
    <t>Milne's method</t>
  </si>
  <si>
    <t>y2</t>
  </si>
  <si>
    <t>y3</t>
  </si>
  <si>
    <t>Step</t>
  </si>
  <si>
    <t>Corrector</t>
  </si>
  <si>
    <t>Predictor</t>
  </si>
  <si>
    <t>y'0</t>
  </si>
  <si>
    <t>y'1</t>
  </si>
  <si>
    <t>y'2</t>
  </si>
  <si>
    <t>y'3</t>
  </si>
  <si>
    <t>Initial conditions</t>
  </si>
  <si>
    <t>Calculation</t>
  </si>
  <si>
    <t>x</t>
  </si>
  <si>
    <t>y'</t>
  </si>
  <si>
    <t>y</t>
  </si>
  <si>
    <t>y1</t>
  </si>
  <si>
    <t>y*</t>
  </si>
  <si>
    <t>Ec(error)</t>
  </si>
  <si>
    <t>Starting X</t>
  </si>
  <si>
    <t>Starting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</si>
</sst>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9" applyNumberFormat="0" applyAlignment="0" applyProtection="0"/>
    <xf numFmtId="0" fontId="5" fillId="5" borderId="0" applyNumberFormat="0" applyBorder="0" applyAlignment="0" applyProtection="0"/>
  </cellStyleXfs>
  <cellXfs count="66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7" xfId="0" applyBorder="1" applyAlignment="1">
      <alignment horizontal="center"/>
    </xf>
    <xf numFmtId="0" fontId="0" fillId="0" borderId="0" xfId="0" applyBorder="1"/>
    <xf numFmtId="0" fontId="0" fillId="0" borderId="8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4" fillId="4" borderId="10" xfId="3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5" xfId="1" applyBorder="1" applyAlignment="1">
      <alignment horizontal="center"/>
    </xf>
    <xf numFmtId="0" fontId="3" fillId="3" borderId="1" xfId="2" applyBorder="1" applyAlignment="1">
      <alignment horizontal="center"/>
    </xf>
    <xf numFmtId="0" fontId="3" fillId="3" borderId="2" xfId="2" applyBorder="1" applyAlignment="1">
      <alignment horizontal="center"/>
    </xf>
    <xf numFmtId="0" fontId="3" fillId="3" borderId="3" xfId="2" applyBorder="1" applyAlignment="1">
      <alignment horizontal="center"/>
    </xf>
    <xf numFmtId="0" fontId="2" fillId="2" borderId="6" xfId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Border="1"/>
    <xf numFmtId="0" fontId="0" fillId="0" borderId="3" xfId="0" applyBorder="1" applyAlignment="1">
      <alignment horizontal="center"/>
    </xf>
    <xf numFmtId="0" fontId="3" fillId="3" borderId="12" xfId="2" applyBorder="1" applyAlignment="1">
      <alignment horizontal="center"/>
    </xf>
    <xf numFmtId="0" fontId="3" fillId="3" borderId="13" xfId="2" applyBorder="1" applyAlignment="1">
      <alignment horizontal="center"/>
    </xf>
    <xf numFmtId="0" fontId="3" fillId="3" borderId="14" xfId="2" applyBorder="1" applyAlignment="1">
      <alignment horizontal="center"/>
    </xf>
    <xf numFmtId="0" fontId="2" fillId="2" borderId="12" xfId="1" applyBorder="1" applyAlignment="1">
      <alignment horizontal="center"/>
    </xf>
    <xf numFmtId="0" fontId="2" fillId="2" borderId="13" xfId="1" applyBorder="1" applyAlignment="1">
      <alignment horizontal="center"/>
    </xf>
    <xf numFmtId="0" fontId="2" fillId="2" borderId="14" xfId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/>
    <xf numFmtId="0" fontId="6" fillId="0" borderId="0" xfId="0" applyFont="1" applyBorder="1" applyAlignment="1">
      <alignment horizontal="left"/>
    </xf>
    <xf numFmtId="0" fontId="0" fillId="0" borderId="29" xfId="0" applyBorder="1"/>
    <xf numFmtId="0" fontId="6" fillId="0" borderId="27" xfId="0" applyFont="1" applyBorder="1" applyAlignment="1">
      <alignment horizontal="center"/>
    </xf>
    <xf numFmtId="0" fontId="5" fillId="5" borderId="8" xfId="4" applyBorder="1"/>
    <xf numFmtId="0" fontId="5" fillId="5" borderId="0" xfId="4"/>
    <xf numFmtId="0" fontId="0" fillId="0" borderId="30" xfId="0" applyBorder="1"/>
    <xf numFmtId="0" fontId="0" fillId="0" borderId="0" xfId="0" applyFont="1" applyFill="1" applyBorder="1" applyAlignment="1">
      <alignment horizontal="center"/>
    </xf>
    <xf numFmtId="0" fontId="0" fillId="0" borderId="8" xfId="0" applyBorder="1" applyAlignment="1"/>
    <xf numFmtId="0" fontId="0" fillId="0" borderId="6" xfId="0" applyBorder="1" applyAlignmen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5">
    <cellStyle name="60% - Énfasis4" xfId="1" builtinId="44"/>
    <cellStyle name="Bueno" xfId="4" builtinId="26"/>
    <cellStyle name="Celda de comprobación" xfId="3" builtinId="23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ler"/>
    </sheetNames>
    <sheetDataSet>
      <sheetData sheetId="0">
        <row r="4">
          <cell r="G4">
            <v>0.1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Y57"/>
  <sheetViews>
    <sheetView tabSelected="1" zoomScaleNormal="100" workbookViewId="0">
      <pane xSplit="1" topLeftCell="H1" activePane="topRight" state="frozen"/>
      <selection pane="topRight" activeCell="U23" sqref="U23"/>
    </sheetView>
  </sheetViews>
  <sheetFormatPr baseColWidth="10" defaultColWidth="9.140625" defaultRowHeight="12.75" x14ac:dyDescent="0.2"/>
  <cols>
    <col min="5" max="5" width="12.5703125" bestFit="1" customWidth="1"/>
    <col min="6" max="6" width="12" bestFit="1" customWidth="1"/>
    <col min="7" max="7" width="12.5703125" bestFit="1" customWidth="1"/>
    <col min="8" max="9" width="12" bestFit="1" customWidth="1"/>
    <col min="12" max="12" width="9.140625" customWidth="1"/>
    <col min="13" max="13" width="12" bestFit="1" customWidth="1"/>
    <col min="16" max="16" width="9.140625" customWidth="1"/>
    <col min="18" max="18" width="8.5703125" customWidth="1"/>
  </cols>
  <sheetData>
    <row r="1" spans="1:25" ht="13.5" thickBot="1" x14ac:dyDescent="0.25"/>
    <row r="2" spans="1:25" ht="15" x14ac:dyDescent="0.25">
      <c r="A2" s="14" t="s">
        <v>23</v>
      </c>
      <c r="B2" s="6"/>
    </row>
    <row r="3" spans="1:25" ht="13.5" thickBot="1" x14ac:dyDescent="0.25">
      <c r="A3" s="15">
        <v>2.5000000000000001E-3</v>
      </c>
      <c r="B3" s="6"/>
    </row>
    <row r="4" spans="1:25" ht="13.5" thickBot="1" x14ac:dyDescent="0.25"/>
    <row r="5" spans="1:25" ht="15" x14ac:dyDescent="0.25">
      <c r="A5" s="14" t="s">
        <v>38</v>
      </c>
      <c r="C5" s="21" t="s">
        <v>8</v>
      </c>
      <c r="D5" s="22"/>
      <c r="E5" s="22"/>
      <c r="F5" s="22"/>
      <c r="G5" s="22"/>
      <c r="H5" s="23"/>
      <c r="K5" s="21" t="s">
        <v>8</v>
      </c>
      <c r="L5" s="22"/>
      <c r="M5" s="22"/>
      <c r="N5" s="22"/>
      <c r="O5" s="22"/>
      <c r="P5" s="22"/>
      <c r="R5" s="21" t="s">
        <v>8</v>
      </c>
      <c r="S5" s="22"/>
      <c r="T5" s="22"/>
      <c r="U5" s="22"/>
      <c r="V5" s="22"/>
      <c r="W5" s="22"/>
      <c r="X5" s="22"/>
      <c r="Y5" s="23"/>
    </row>
    <row r="6" spans="1:25" ht="15.75" thickBot="1" x14ac:dyDescent="0.3">
      <c r="A6" s="15">
        <v>0</v>
      </c>
      <c r="C6" s="19" t="s">
        <v>0</v>
      </c>
      <c r="D6" s="20"/>
      <c r="E6" s="20"/>
      <c r="F6" s="20"/>
      <c r="G6" s="20"/>
      <c r="H6" s="24"/>
      <c r="K6" s="19" t="s">
        <v>15</v>
      </c>
      <c r="L6" s="20"/>
      <c r="M6" s="20"/>
      <c r="N6" s="20"/>
      <c r="O6" s="20"/>
      <c r="P6" s="20"/>
      <c r="R6" s="19" t="s">
        <v>16</v>
      </c>
      <c r="S6" s="20"/>
      <c r="T6" s="20"/>
      <c r="U6" s="20"/>
      <c r="V6" s="20"/>
      <c r="W6" s="20"/>
      <c r="X6" s="20"/>
      <c r="Y6" s="24"/>
    </row>
    <row r="7" spans="1:25" ht="13.5" thickBot="1" x14ac:dyDescent="0.25">
      <c r="C7" s="1"/>
      <c r="D7" s="12" t="s">
        <v>5</v>
      </c>
      <c r="E7" s="3">
        <f>A6</f>
        <v>0</v>
      </c>
      <c r="F7" s="12" t="s">
        <v>6</v>
      </c>
      <c r="G7" s="3">
        <f>A9</f>
        <v>0.3</v>
      </c>
      <c r="H7" s="13"/>
      <c r="K7" s="64" t="s">
        <v>5</v>
      </c>
      <c r="L7" s="2">
        <f>A6</f>
        <v>0</v>
      </c>
      <c r="M7" s="2" t="s">
        <v>6</v>
      </c>
      <c r="N7" s="2">
        <f>A9</f>
        <v>0.3</v>
      </c>
      <c r="O7" s="2" t="s">
        <v>4</v>
      </c>
      <c r="P7" s="65">
        <f>A3</f>
        <v>2.5000000000000001E-3</v>
      </c>
      <c r="R7" s="1"/>
      <c r="S7" s="2" t="s">
        <v>17</v>
      </c>
      <c r="T7" s="2">
        <f>A6</f>
        <v>0</v>
      </c>
      <c r="U7" s="2" t="s">
        <v>18</v>
      </c>
      <c r="V7" s="2">
        <f>A9</f>
        <v>0.3</v>
      </c>
      <c r="W7" s="2" t="s">
        <v>4</v>
      </c>
      <c r="X7" s="2">
        <f>A3</f>
        <v>2.5000000000000001E-3</v>
      </c>
      <c r="Y7" s="4"/>
    </row>
    <row r="8" spans="1:25" ht="15" x14ac:dyDescent="0.25">
      <c r="A8" s="14" t="s">
        <v>39</v>
      </c>
      <c r="C8" s="5" t="s">
        <v>14</v>
      </c>
      <c r="D8" s="9" t="s">
        <v>1</v>
      </c>
      <c r="E8" s="9" t="s">
        <v>2</v>
      </c>
      <c r="F8" s="6" t="s">
        <v>3</v>
      </c>
      <c r="G8" s="25" t="s">
        <v>7</v>
      </c>
      <c r="H8" s="26"/>
      <c r="K8" s="5" t="s">
        <v>14</v>
      </c>
      <c r="L8" s="16" t="s">
        <v>1</v>
      </c>
      <c r="M8" s="16" t="s">
        <v>2</v>
      </c>
      <c r="N8" s="16" t="s">
        <v>9</v>
      </c>
      <c r="O8" s="16" t="s">
        <v>10</v>
      </c>
      <c r="P8" s="62" t="s">
        <v>19</v>
      </c>
      <c r="R8" s="5" t="s">
        <v>14</v>
      </c>
      <c r="S8" s="16" t="s">
        <v>1</v>
      </c>
      <c r="T8" s="16" t="s">
        <v>2</v>
      </c>
      <c r="U8" s="16" t="s">
        <v>9</v>
      </c>
      <c r="V8" s="16" t="s">
        <v>10</v>
      </c>
      <c r="W8" s="16" t="s">
        <v>11</v>
      </c>
      <c r="X8" s="16" t="s">
        <v>12</v>
      </c>
      <c r="Y8" s="7" t="s">
        <v>13</v>
      </c>
    </row>
    <row r="9" spans="1:25" ht="13.5" thickBot="1" x14ac:dyDescent="0.25">
      <c r="A9" s="15">
        <v>0.3</v>
      </c>
      <c r="C9" s="8">
        <v>0</v>
      </c>
      <c r="D9" s="6">
        <v>0</v>
      </c>
      <c r="E9" s="6">
        <f>$G$7</f>
        <v>0.3</v>
      </c>
      <c r="F9" s="6" cm="1">
        <f t="array" ref="F9">FXY(D9,E9)</f>
        <v>20.069464605668369</v>
      </c>
      <c r="G9" s="25">
        <f t="shared" ref="G9" si="0">E9+h*F9</f>
        <v>0.3501736615141709</v>
      </c>
      <c r="H9" s="26"/>
      <c r="K9" s="8">
        <v>0</v>
      </c>
      <c r="L9" s="6">
        <f>$L$7</f>
        <v>0</v>
      </c>
      <c r="M9" s="6">
        <f>$N$7</f>
        <v>0.3</v>
      </c>
      <c r="N9" s="6">
        <f t="shared" ref="N9:N18" si="1">L9+h/2</f>
        <v>1.25E-3</v>
      </c>
      <c r="O9" s="6" cm="1">
        <f t="array" ref="O9">M9 + FXY(L9,M9)*(h/2)</f>
        <v>0.32508683075708544</v>
      </c>
      <c r="P9" s="62" cm="1">
        <f t="array" ref="P9">M9 + h * FXY(N9,O9)</f>
        <v>0.35017400532378135</v>
      </c>
      <c r="R9" s="8">
        <v>0</v>
      </c>
      <c r="S9" s="6">
        <f>$T$7</f>
        <v>0</v>
      </c>
      <c r="T9" s="6">
        <f>$V$7</f>
        <v>0.3</v>
      </c>
      <c r="U9" s="6" cm="1">
        <f t="array" ref="U9">FXY(S9,T9)</f>
        <v>20.069464605668369</v>
      </c>
      <c r="V9" s="6" cm="1">
        <f t="array" ref="V9">FXY(S9 + h/2, T9 + h*U9/2)</f>
        <v>20.069602129512539</v>
      </c>
      <c r="W9" s="6" cm="1">
        <f t="array" ref="W9">FXY(S9 + h/2, T9 + h*V9/2)</f>
        <v>20.069602129598351</v>
      </c>
      <c r="X9" s="6" cm="1">
        <f t="array" ref="X9">FXY(S9 + h, T9 + h*W9)</f>
        <v>20.069739651960042</v>
      </c>
      <c r="Y9" s="17">
        <f>T9+(h/6)*(U9 + 2*V9 + 2*W9 +X9 )</f>
        <v>0.35017400532327092</v>
      </c>
    </row>
    <row r="10" spans="1:25" x14ac:dyDescent="0.2">
      <c r="C10" s="8">
        <f>C9+1</f>
        <v>1</v>
      </c>
      <c r="D10" s="6">
        <f>D9+$P$7</f>
        <v>2.5000000000000001E-3</v>
      </c>
      <c r="E10" s="6">
        <f>G9</f>
        <v>0.3501736615141709</v>
      </c>
      <c r="F10" s="6" cm="1">
        <f t="array" ref="F10">FXY(D10,E10)</f>
        <v>20.069739651788439</v>
      </c>
      <c r="G10" s="25">
        <f t="shared" ref="G10:G29" si="2">E10+h*F10</f>
        <v>0.400348010643642</v>
      </c>
      <c r="H10" s="26"/>
      <c r="K10" s="8">
        <f>K9+1</f>
        <v>1</v>
      </c>
      <c r="L10" s="6">
        <f>L9+$P$7</f>
        <v>2.5000000000000001E-3</v>
      </c>
      <c r="M10" s="6">
        <f t="shared" ref="M10:M18" si="3">P9</f>
        <v>0.35017400532378135</v>
      </c>
      <c r="N10" s="6">
        <f t="shared" si="1"/>
        <v>3.7499999999999999E-3</v>
      </c>
      <c r="O10" s="6" cm="1">
        <f t="array" ref="O10">M10 + FXY(L10,M10)*(h/2)</f>
        <v>0.37526117988873142</v>
      </c>
      <c r="P10" s="62" cm="1">
        <f t="array" ref="P10">M10 + h * FXY(N10,O10)</f>
        <v>0.40034869825588038</v>
      </c>
      <c r="R10" s="8">
        <f>R9+1</f>
        <v>1</v>
      </c>
      <c r="S10" s="6">
        <f>S9+$P$7</f>
        <v>2.5000000000000001E-3</v>
      </c>
      <c r="T10" s="6">
        <f t="shared" ref="T10:T19" si="4">Y9</f>
        <v>0.35017400532327092</v>
      </c>
      <c r="U10" s="6" cm="1">
        <f t="array" ref="U10">FXY(S10,T10)</f>
        <v>20.069739651960042</v>
      </c>
      <c r="V10" s="6" cm="1">
        <f t="array" ref="V10">FXY(S10 + h/2, T10 + h*U10/2)</f>
        <v>20.069877172839622</v>
      </c>
      <c r="W10" s="6" cm="1">
        <f t="array" ref="W10">FXY(S10 + h/2, T10 + h*V10/2)</f>
        <v>20.069877172925413</v>
      </c>
      <c r="X10" s="6" cm="1">
        <f t="array" ref="X10">FXY(S10 + h, T10 + h*W10)</f>
        <v>20.070014692323234</v>
      </c>
      <c r="Y10" s="17">
        <f t="shared" ref="Y10:Y19" si="5">T10+(h/6)*(U10 + 2*V10 + 2*W10 +X10 )</f>
        <v>0.4003486982548598</v>
      </c>
    </row>
    <row r="11" spans="1:25" x14ac:dyDescent="0.2">
      <c r="C11" s="8">
        <f t="shared" ref="C11:C29" si="6">C10+1</f>
        <v>2</v>
      </c>
      <c r="D11" s="6">
        <f>D10+$P$7</f>
        <v>5.0000000000000001E-3</v>
      </c>
      <c r="E11" s="6">
        <f t="shared" ref="E11:E29" si="7">G10</f>
        <v>0.400348010643642</v>
      </c>
      <c r="F11" s="6" cm="1">
        <f t="array" ref="F11">FXY(D11,E11)</f>
        <v>20.070014691980116</v>
      </c>
      <c r="G11" s="25">
        <f t="shared" si="2"/>
        <v>0.45052304737359228</v>
      </c>
      <c r="H11" s="26"/>
      <c r="K11" s="8">
        <f t="shared" ref="K11:K18" si="8">K10+1</f>
        <v>2</v>
      </c>
      <c r="L11" s="6">
        <f>L10+$P$7</f>
        <v>5.0000000000000001E-3</v>
      </c>
      <c r="M11" s="6">
        <f t="shared" si="3"/>
        <v>0.40034869825588038</v>
      </c>
      <c r="N11" s="6">
        <f t="shared" si="1"/>
        <v>6.2500000000000003E-3</v>
      </c>
      <c r="O11" s="6" cm="1">
        <f t="array" ref="O11">M11 + FXY(L11,M11)*(h/2)</f>
        <v>0.42543621662128439</v>
      </c>
      <c r="P11" s="62" cm="1">
        <f t="array" ref="P11">M11 + h * FXY(N11,O11)</f>
        <v>0.45052407878147954</v>
      </c>
      <c r="R11" s="8">
        <f>R10+1</f>
        <v>2</v>
      </c>
      <c r="S11" s="6">
        <f>S10+$P$7</f>
        <v>5.0000000000000001E-3</v>
      </c>
      <c r="T11" s="6">
        <f t="shared" si="4"/>
        <v>0.4003486982548598</v>
      </c>
      <c r="U11" s="6" cm="1">
        <f t="array" ref="U11">FXY(S11,T11)</f>
        <v>20.070014692323234</v>
      </c>
      <c r="V11" s="6" cm="1">
        <f t="array" ref="V11">FXY(S11 + h/2, T11 + h*U11/2)</f>
        <v>20.070152210239669</v>
      </c>
      <c r="W11" s="6" cm="1">
        <f t="array" ref="W11">FXY(S11 + h/2, T11 + h*V11/2)</f>
        <v>20.070152210325436</v>
      </c>
      <c r="X11" s="6" cm="1">
        <f t="array" ref="X11">FXY(S11 + h, T11 + h*W11)</f>
        <v>20.070289726760826</v>
      </c>
      <c r="Y11" s="17">
        <f t="shared" si="5"/>
        <v>0.4505240787799491</v>
      </c>
    </row>
    <row r="12" spans="1:25" x14ac:dyDescent="0.2">
      <c r="C12" s="8">
        <f t="shared" si="6"/>
        <v>3</v>
      </c>
      <c r="D12" s="6">
        <f>D11+$P$7</f>
        <v>7.4999999999999997E-3</v>
      </c>
      <c r="E12" s="6">
        <f t="shared" si="7"/>
        <v>0.45052304737359228</v>
      </c>
      <c r="F12" s="6" cm="1">
        <f t="array" ref="F12">FXY(D12,E12)</f>
        <v>20.07028972624628</v>
      </c>
      <c r="G12" s="25">
        <f t="shared" si="2"/>
        <v>0.50069877168920796</v>
      </c>
      <c r="H12" s="26"/>
      <c r="K12" s="8">
        <f t="shared" si="8"/>
        <v>3</v>
      </c>
      <c r="L12" s="6">
        <f>L11+$P$7</f>
        <v>7.4999999999999997E-3</v>
      </c>
      <c r="M12" s="6">
        <f t="shared" si="3"/>
        <v>0.45052407878147954</v>
      </c>
      <c r="N12" s="6">
        <f t="shared" si="1"/>
        <v>8.7499999999999991E-3</v>
      </c>
      <c r="O12" s="6" cm="1">
        <f t="array" ref="O12">M12 + FXY(L12,M12)*(h/2)</f>
        <v>0.47561194093993059</v>
      </c>
      <c r="P12" s="62" cm="1">
        <f t="array" ref="P12">M12 + h * FXY(N12,O12)</f>
        <v>0.50070014688576836</v>
      </c>
      <c r="R12" s="8">
        <f>R11+1</f>
        <v>3</v>
      </c>
      <c r="S12" s="6">
        <f>S11+$P$7</f>
        <v>7.4999999999999997E-3</v>
      </c>
      <c r="T12" s="6">
        <f t="shared" si="4"/>
        <v>0.4505240787799491</v>
      </c>
      <c r="U12" s="6" cm="1">
        <f t="array" ref="U12">FXY(S12,T12)</f>
        <v>20.070289726760826</v>
      </c>
      <c r="V12" s="6" cm="1">
        <f t="array" ref="V12">FXY(S12 + h/2, T12 + h*U12/2)</f>
        <v>20.070427241715546</v>
      </c>
      <c r="W12" s="6" cm="1">
        <f t="array" ref="W12">FXY(S12 + h/2, T12 + h*V12/2)</f>
        <v>20.070427241801291</v>
      </c>
      <c r="X12" s="6" cm="1">
        <f t="array" ref="X12">FXY(S12 + h, T12 + h*W12)</f>
        <v>20.070564755275687</v>
      </c>
      <c r="Y12" s="17">
        <f t="shared" si="5"/>
        <v>0.50070014688372833</v>
      </c>
    </row>
    <row r="13" spans="1:25" x14ac:dyDescent="0.2">
      <c r="C13" s="8">
        <f t="shared" si="6"/>
        <v>4</v>
      </c>
      <c r="D13" s="6">
        <f>D12+$P$7</f>
        <v>0.01</v>
      </c>
      <c r="E13" s="6">
        <f t="shared" si="7"/>
        <v>0.50069877168920796</v>
      </c>
      <c r="F13" s="6" cm="1">
        <f t="array" ref="F13">FXY(D13,E13)</f>
        <v>20.070564754589807</v>
      </c>
      <c r="G13" s="25">
        <f t="shared" si="2"/>
        <v>0.55087518357568244</v>
      </c>
      <c r="H13" s="26"/>
      <c r="K13" s="8">
        <f t="shared" si="8"/>
        <v>4</v>
      </c>
      <c r="L13" s="6">
        <f>L12+$P$7</f>
        <v>0.01</v>
      </c>
      <c r="M13" s="6">
        <f t="shared" si="3"/>
        <v>0.50070014688576836</v>
      </c>
      <c r="N13" s="6">
        <f t="shared" si="1"/>
        <v>1.125E-2</v>
      </c>
      <c r="O13" s="6" cm="1">
        <f t="array" ref="O13">M13 + FXY(L13,M13)*(h/2)</f>
        <v>0.52578835282986303</v>
      </c>
      <c r="P13" s="62" cm="1">
        <f t="array" ref="P13">M13 + h * FXY(N13,O13)</f>
        <v>0.55087690255394373</v>
      </c>
      <c r="R13" s="8">
        <f>R12+1</f>
        <v>4</v>
      </c>
      <c r="S13" s="6">
        <f>S12+$P$7</f>
        <v>0.01</v>
      </c>
      <c r="T13" s="6">
        <f t="shared" si="4"/>
        <v>0.50070014688372833</v>
      </c>
      <c r="U13" s="6" cm="1">
        <f t="array" ref="U13">FXY(S13,T13)</f>
        <v>20.070564755275687</v>
      </c>
      <c r="V13" s="6" cm="1">
        <f t="array" ref="V13">FXY(S13 + h/2, T13 + h*U13/2)</f>
        <v>20.070702267270125</v>
      </c>
      <c r="W13" s="6" cm="1">
        <f t="array" ref="W13">FXY(S13 + h/2, T13 + h*V13/2)</f>
        <v>20.070702267355845</v>
      </c>
      <c r="X13" s="6" cm="1">
        <f t="array" ref="X13">FXY(S13 + h, T13 + h*W13)</f>
        <v>20.070839777870681</v>
      </c>
      <c r="Y13" s="17">
        <f t="shared" si="5"/>
        <v>0.55087690255139432</v>
      </c>
    </row>
    <row r="14" spans="1:25" x14ac:dyDescent="0.2">
      <c r="C14" s="8">
        <f t="shared" si="6"/>
        <v>5</v>
      </c>
      <c r="D14" s="6">
        <f>D13+$P$7</f>
        <v>1.2500000000000001E-2</v>
      </c>
      <c r="E14" s="6">
        <f t="shared" si="7"/>
        <v>0.55087518357568244</v>
      </c>
      <c r="F14" s="6" cm="1">
        <f t="array" ref="F14">FXY(D14,E14)</f>
        <v>20.070839777013553</v>
      </c>
      <c r="G14" s="25">
        <f t="shared" si="2"/>
        <v>0.60105228301821634</v>
      </c>
      <c r="H14" s="26"/>
      <c r="K14" s="8">
        <f t="shared" si="8"/>
        <v>5</v>
      </c>
      <c r="L14" s="6">
        <f>L13+$P$7</f>
        <v>1.2500000000000001E-2</v>
      </c>
      <c r="M14" s="6">
        <f t="shared" si="3"/>
        <v>0.55087690255394373</v>
      </c>
      <c r="N14" s="6">
        <f t="shared" si="1"/>
        <v>1.375E-2</v>
      </c>
      <c r="O14" s="6" cm="1">
        <f t="array" ref="O14">M14 + FXY(L14,M14)*(h/2)</f>
        <v>0.57596545227628204</v>
      </c>
      <c r="P14" s="62" cm="1">
        <f t="array" ref="P14">M14 + h * FXY(N14,O14)</f>
        <v>0.60105434577120942</v>
      </c>
      <c r="R14" s="8">
        <f>R13+1</f>
        <v>5</v>
      </c>
      <c r="S14" s="6">
        <f>S13+$P$7</f>
        <v>1.2500000000000001E-2</v>
      </c>
      <c r="T14" s="6">
        <f t="shared" si="4"/>
        <v>0.55087690255139432</v>
      </c>
      <c r="U14" s="6" cm="1">
        <f t="array" ref="U14">FXY(S14,T14)</f>
        <v>20.070839777870681</v>
      </c>
      <c r="V14" s="6" cm="1">
        <f t="array" ref="V14">FXY(S14 + h/2, T14 + h*U14/2)</f>
        <v>20.070977286906281</v>
      </c>
      <c r="W14" s="6" cm="1">
        <f t="array" ref="W14">FXY(S14 + h/2, T14 + h*V14/2)</f>
        <v>20.07097728699198</v>
      </c>
      <c r="X14" s="6" cm="1">
        <f t="array" ref="X14">FXY(S14 + h, T14 + h*W14)</f>
        <v>20.071114794548688</v>
      </c>
      <c r="Y14" s="17">
        <f t="shared" si="5"/>
        <v>0.60105434576815098</v>
      </c>
    </row>
    <row r="15" spans="1:25" x14ac:dyDescent="0.2">
      <c r="C15" s="8">
        <f t="shared" si="6"/>
        <v>6</v>
      </c>
      <c r="D15" s="6">
        <f>D14+$P$7</f>
        <v>1.5000000000000001E-2</v>
      </c>
      <c r="E15" s="6">
        <f t="shared" si="7"/>
        <v>0.60105228301821634</v>
      </c>
      <c r="F15" s="6" cm="1">
        <f t="array" ref="F15">FXY(D15,E15)</f>
        <v>20.071114793520405</v>
      </c>
      <c r="G15" s="25">
        <f t="shared" si="2"/>
        <v>0.65123007000201738</v>
      </c>
      <c r="H15" s="26"/>
      <c r="K15" s="8">
        <f t="shared" si="8"/>
        <v>6</v>
      </c>
      <c r="L15" s="6">
        <f>L14+$P$7</f>
        <v>1.5000000000000001E-2</v>
      </c>
      <c r="M15" s="6">
        <f t="shared" si="3"/>
        <v>0.60105434577120942</v>
      </c>
      <c r="N15" s="6">
        <f t="shared" si="1"/>
        <v>1.6250000000000001E-2</v>
      </c>
      <c r="O15" s="6" cm="1">
        <f t="array" ref="O15">M15 + FXY(L15,M15)*(h/2)</f>
        <v>0.6261432392643953</v>
      </c>
      <c r="P15" s="62" cm="1">
        <f t="array" ref="P15">M15 + h * FXY(N15,O15)</f>
        <v>0.6512324765227766</v>
      </c>
      <c r="R15" s="8">
        <f>R14+1</f>
        <v>6</v>
      </c>
      <c r="S15" s="6">
        <f>S14+$P$7</f>
        <v>1.5000000000000001E-2</v>
      </c>
      <c r="T15" s="6">
        <f t="shared" si="4"/>
        <v>0.60105434576815098</v>
      </c>
      <c r="U15" s="6" cm="1">
        <f t="array" ref="U15">FXY(S15,T15)</f>
        <v>20.071114794548688</v>
      </c>
      <c r="V15" s="6" cm="1">
        <f t="array" ref="V15">FXY(S15 + h/2, T15 + h*U15/2)</f>
        <v>20.071252300626881</v>
      </c>
      <c r="W15" s="6" cm="1">
        <f t="array" ref="W15">FXY(S15 + h/2, T15 + h*V15/2)</f>
        <v>20.071252300712555</v>
      </c>
      <c r="X15" s="6" cm="1">
        <f t="array" ref="X15">FXY(S15 + h, T15 + h*W15)</f>
        <v>20.07138980531257</v>
      </c>
      <c r="Y15" s="17">
        <f t="shared" si="5"/>
        <v>0.65123247651920935</v>
      </c>
    </row>
    <row r="16" spans="1:25" x14ac:dyDescent="0.2">
      <c r="C16" s="8">
        <f t="shared" si="6"/>
        <v>7</v>
      </c>
      <c r="D16" s="6">
        <f>D15+$P$7</f>
        <v>1.7500000000000002E-2</v>
      </c>
      <c r="E16" s="6">
        <f t="shared" si="7"/>
        <v>0.65123007000201738</v>
      </c>
      <c r="F16" s="6" cm="1">
        <f t="array" ref="F16">FXY(D16,E16)</f>
        <v>20.071389804113217</v>
      </c>
      <c r="G16" s="25">
        <f t="shared" si="2"/>
        <v>0.70140854451230039</v>
      </c>
      <c r="H16" s="26"/>
      <c r="K16" s="8">
        <f t="shared" si="8"/>
        <v>7</v>
      </c>
      <c r="L16" s="6">
        <f>L15+$P$7</f>
        <v>1.7500000000000002E-2</v>
      </c>
      <c r="M16" s="6">
        <f t="shared" si="3"/>
        <v>0.6512324765227766</v>
      </c>
      <c r="N16" s="6">
        <f t="shared" si="1"/>
        <v>1.8750000000000003E-2</v>
      </c>
      <c r="O16" s="6" cm="1">
        <f t="array" ref="O16">M16 + FXY(L16,M16)*(h/2)</f>
        <v>0.6763217137794173</v>
      </c>
      <c r="P16" s="62" cm="1">
        <f t="array" ref="P16">M16 + h * FXY(N16,O16)</f>
        <v>0.70141129479386355</v>
      </c>
      <c r="R16" s="8">
        <f>R15+1</f>
        <v>7</v>
      </c>
      <c r="S16" s="6">
        <f>S15+$P$7</f>
        <v>1.7500000000000002E-2</v>
      </c>
      <c r="T16" s="6">
        <f t="shared" si="4"/>
        <v>0.65123247651920935</v>
      </c>
      <c r="U16" s="6" cm="1">
        <f t="array" ref="U16">FXY(S16,T16)</f>
        <v>20.07138980531257</v>
      </c>
      <c r="V16" s="6" cm="1">
        <f t="array" ref="V16">FXY(S16 + h/2, T16 + h*U16/2)</f>
        <v>20.071527308434781</v>
      </c>
      <c r="W16" s="6" cm="1">
        <f t="array" ref="W16">FXY(S16 + h/2, T16 + h*V16/2)</f>
        <v>20.071527308520434</v>
      </c>
      <c r="X16" s="6" cm="1">
        <f t="array" ref="X16">FXY(S16 + h, T16 + h*W16)</f>
        <v>20.071664810165188</v>
      </c>
      <c r="Y16" s="17">
        <f t="shared" si="5"/>
        <v>0.70141129478978781</v>
      </c>
    </row>
    <row r="17" spans="3:25" x14ac:dyDescent="0.2">
      <c r="C17" s="8">
        <f t="shared" si="6"/>
        <v>8</v>
      </c>
      <c r="D17" s="6">
        <f>D16+$P$7</f>
        <v>0.02</v>
      </c>
      <c r="E17" s="6">
        <f t="shared" si="7"/>
        <v>0.70140854451230039</v>
      </c>
      <c r="F17" s="6" cm="1">
        <f t="array" ref="F17">FXY(D17,E17)</f>
        <v>20.071664808794857</v>
      </c>
      <c r="G17" s="25">
        <f t="shared" si="2"/>
        <v>0.75158770653428753</v>
      </c>
      <c r="H17" s="26"/>
      <c r="K17" s="8">
        <f t="shared" si="8"/>
        <v>8</v>
      </c>
      <c r="L17" s="6">
        <f>L16+$P$7</f>
        <v>0.02</v>
      </c>
      <c r="M17" s="6">
        <f t="shared" si="3"/>
        <v>0.70141129479386355</v>
      </c>
      <c r="N17" s="6">
        <f t="shared" si="1"/>
        <v>2.1250000000000002E-2</v>
      </c>
      <c r="O17" s="6" cm="1">
        <f t="array" ref="O17">M17 + FXY(L17,M17)*(h/2)</f>
        <v>0.72650087580657008</v>
      </c>
      <c r="P17" s="62" cm="1">
        <f t="array" ref="P17">M17 + h * FXY(N17,O17)</f>
        <v>0.75159080056969574</v>
      </c>
      <c r="R17" s="8">
        <f>R16+1</f>
        <v>8</v>
      </c>
      <c r="S17" s="6">
        <f>S16+$P$7</f>
        <v>0.02</v>
      </c>
      <c r="T17" s="6">
        <f t="shared" si="4"/>
        <v>0.70141129478978781</v>
      </c>
      <c r="U17" s="6" cm="1">
        <f t="array" ref="U17">FXY(S17,T17)</f>
        <v>20.071664810165188</v>
      </c>
      <c r="V17" s="6" cm="1">
        <f t="array" ref="V17">FXY(S17 + h/2, T17 + h*U17/2)</f>
        <v>20.07180231033286</v>
      </c>
      <c r="W17" s="6" cm="1">
        <f t="array" ref="W17">FXY(S17 + h/2, T17 + h*V17/2)</f>
        <v>20.071802310418487</v>
      </c>
      <c r="X17" s="6" cm="1">
        <f t="array" ref="X17">FXY(S17 + h, T17 + h*W17)</f>
        <v>20.071939809109413</v>
      </c>
      <c r="Y17" s="17">
        <f t="shared" si="5"/>
        <v>0.75159080056511174</v>
      </c>
    </row>
    <row r="18" spans="3:25" x14ac:dyDescent="0.2">
      <c r="C18" s="8">
        <f t="shared" si="6"/>
        <v>9</v>
      </c>
      <c r="D18" s="6">
        <f>D17+$P$7</f>
        <v>2.2499999999999999E-2</v>
      </c>
      <c r="E18" s="6">
        <f t="shared" si="7"/>
        <v>0.75158770653428753</v>
      </c>
      <c r="F18" s="6" cm="1">
        <f t="array" ref="F18">FXY(D18,E18)</f>
        <v>20.071939807568189</v>
      </c>
      <c r="G18" s="25">
        <f t="shared" si="2"/>
        <v>0.80176755605320804</v>
      </c>
      <c r="H18" s="26"/>
      <c r="K18" s="8">
        <f t="shared" si="8"/>
        <v>9</v>
      </c>
      <c r="L18" s="6">
        <f>L17+$P$7</f>
        <v>2.2499999999999999E-2</v>
      </c>
      <c r="M18" s="6">
        <f t="shared" si="3"/>
        <v>0.75159080056969574</v>
      </c>
      <c r="N18" s="6">
        <f t="shared" si="1"/>
        <v>2.375E-2</v>
      </c>
      <c r="O18" s="6" cm="1">
        <f t="array" ref="O18">M18 + FXY(L18,M18)*(h/2)</f>
        <v>0.77668072533108257</v>
      </c>
      <c r="P18" s="62" cm="1">
        <f t="array" ref="P18">M18 + h * FXY(N18,O18)</f>
        <v>0.80177099383550565</v>
      </c>
      <c r="R18" s="8">
        <f>R17+1</f>
        <v>9</v>
      </c>
      <c r="S18" s="6">
        <f>S17+$P$7</f>
        <v>2.2499999999999999E-2</v>
      </c>
      <c r="T18" s="6">
        <f t="shared" si="4"/>
        <v>0.75159080056511174</v>
      </c>
      <c r="U18" s="6" cm="1">
        <f t="array" ref="U18">FXY(S18,T18)</f>
        <v>20.071939809109413</v>
      </c>
      <c r="V18" s="6" cm="1">
        <f t="array" ref="V18">FXY(S18 + h/2, T18 + h*U18/2)</f>
        <v>20.072077306323969</v>
      </c>
      <c r="W18" s="6" cm="1">
        <f t="array" ref="W18">FXY(S18 + h/2, T18 + h*V18/2)</f>
        <v>20.072077306409572</v>
      </c>
      <c r="X18" s="6" cm="1">
        <f t="array" ref="X18">FXY(S18 + h, T18 + h*W18)</f>
        <v>20.0722148021481</v>
      </c>
      <c r="Y18" s="17">
        <f t="shared" si="5"/>
        <v>0.80177099383041361</v>
      </c>
    </row>
    <row r="19" spans="3:25" ht="13.5" thickBot="1" x14ac:dyDescent="0.25">
      <c r="C19" s="8">
        <f t="shared" si="6"/>
        <v>10</v>
      </c>
      <c r="D19" s="6">
        <f>D18+$P$7</f>
        <v>2.4999999999999998E-2</v>
      </c>
      <c r="E19" s="6">
        <f t="shared" si="7"/>
        <v>0.80176755605320804</v>
      </c>
      <c r="F19" s="6" cm="1">
        <f t="array" ref="F19">FXY(D19,E19)</f>
        <v>20.072214800436075</v>
      </c>
      <c r="G19" s="25">
        <f t="shared" si="2"/>
        <v>0.85194809305429819</v>
      </c>
      <c r="H19" s="26"/>
      <c r="K19" s="8">
        <f>K18+1</f>
        <v>10</v>
      </c>
      <c r="L19" s="6">
        <f>L18+$P$7</f>
        <v>2.4999999999999998E-2</v>
      </c>
      <c r="M19" s="6">
        <f>P18</f>
        <v>0.80177099383550565</v>
      </c>
      <c r="N19" s="6">
        <f>L19+h/2</f>
        <v>2.6249999999999999E-2</v>
      </c>
      <c r="O19" s="6" cm="1">
        <f t="array" ref="O19">M19 + FXY(L19,M19)*(h/2)</f>
        <v>0.82686126233819079</v>
      </c>
      <c r="P19" s="62" cm="1">
        <f t="array" ref="P19">M19 + h * FXY(N19,O19)</f>
        <v>0.8519518745765331</v>
      </c>
      <c r="R19" s="10">
        <f>R18+1</f>
        <v>10</v>
      </c>
      <c r="S19" s="11">
        <f>S18+$P$7</f>
        <v>2.4999999999999998E-2</v>
      </c>
      <c r="T19" s="11">
        <f t="shared" si="4"/>
        <v>0.80177099383041361</v>
      </c>
      <c r="U19" s="11" cm="1">
        <f t="array" ref="U19">FXY(S19,T19)</f>
        <v>20.0722148021481</v>
      </c>
      <c r="V19" s="11" cm="1">
        <f t="array" ref="V19">FXY(S19 + h/2, T19 + h*U19/2)</f>
        <v>20.072352296410966</v>
      </c>
      <c r="W19" s="11" cm="1">
        <f t="array" ref="W19">FXY(S19 + h/2, T19 + h*V19/2)</f>
        <v>20.072352296496547</v>
      </c>
      <c r="X19" s="11" cm="1">
        <f t="array" ref="X19">FXY(S19 + h, T19 + h*W19)</f>
        <v>20.072489789284102</v>
      </c>
      <c r="Y19" s="18">
        <f t="shared" si="5"/>
        <v>0.85195187457093335</v>
      </c>
    </row>
    <row r="20" spans="3:25" x14ac:dyDescent="0.2">
      <c r="C20" s="8">
        <f t="shared" si="6"/>
        <v>11</v>
      </c>
      <c r="D20" s="6">
        <f>D19+$P$7</f>
        <v>2.7499999999999997E-2</v>
      </c>
      <c r="E20" s="6">
        <f t="shared" si="7"/>
        <v>0.85194809305429819</v>
      </c>
      <c r="F20" s="6" cm="1">
        <f t="array" ref="F20">FXY(D20,E20)</f>
        <v>20.072489787401363</v>
      </c>
      <c r="G20" s="25">
        <f t="shared" si="2"/>
        <v>0.90212931752280157</v>
      </c>
      <c r="H20" s="26"/>
      <c r="K20" s="8">
        <f t="shared" ref="K20:K32" si="9">K19+1</f>
        <v>11</v>
      </c>
      <c r="L20" s="6">
        <f>L19+$P$7</f>
        <v>2.7499999999999997E-2</v>
      </c>
      <c r="M20" s="6">
        <f t="shared" ref="M20:M32" si="10">P19</f>
        <v>0.8519518745765331</v>
      </c>
      <c r="N20" s="6">
        <f>L20+h/2</f>
        <v>2.8749999999999998E-2</v>
      </c>
      <c r="O20" s="6" cm="1">
        <f t="array" ref="O20">M20 + FXY(L20,M20)*(h/2)</f>
        <v>0.87704248681313823</v>
      </c>
      <c r="P20" s="62" cm="1">
        <f t="array" ref="P20">M20 + h * FXY(N20,O20)</f>
        <v>0.90213344277802487</v>
      </c>
    </row>
    <row r="21" spans="3:25" x14ac:dyDescent="0.2">
      <c r="C21" s="8">
        <f t="shared" si="6"/>
        <v>12</v>
      </c>
      <c r="D21" s="6">
        <f>D20+$P$7</f>
        <v>2.9999999999999995E-2</v>
      </c>
      <c r="E21" s="6">
        <f t="shared" si="7"/>
        <v>0.90212931752280157</v>
      </c>
      <c r="F21" s="6" cm="1">
        <f t="array" ref="F21">FXY(D21,E21)</f>
        <v>20.072764768466921</v>
      </c>
      <c r="G21" s="25">
        <f t="shared" si="2"/>
        <v>0.95231122944396884</v>
      </c>
      <c r="H21" s="26"/>
      <c r="K21" s="8">
        <f t="shared" si="9"/>
        <v>12</v>
      </c>
      <c r="L21" s="6">
        <f>L20+$P$7</f>
        <v>2.9999999999999995E-2</v>
      </c>
      <c r="M21" s="6">
        <f t="shared" si="10"/>
        <v>0.90213344277802487</v>
      </c>
      <c r="N21" s="6">
        <f>L21+h/2</f>
        <v>3.1249999999999997E-2</v>
      </c>
      <c r="O21" s="6" cm="1">
        <f t="array" ref="O21">M21 + FXY(L21,M21)*(h/2)</f>
        <v>0.92722439874117524</v>
      </c>
      <c r="P21" s="62" cm="1">
        <f t="array" ref="P21">M21 + h * FXY(N21,O21)</f>
        <v>0.952315698425235</v>
      </c>
    </row>
    <row r="22" spans="3:25" x14ac:dyDescent="0.2">
      <c r="C22" s="8">
        <f t="shared" si="6"/>
        <v>13</v>
      </c>
      <c r="D22" s="6">
        <f>D21+$P$7</f>
        <v>3.2499999999999994E-2</v>
      </c>
      <c r="E22" s="6">
        <f t="shared" si="7"/>
        <v>0.95231122944396884</v>
      </c>
      <c r="F22" s="6" cm="1">
        <f t="array" ref="F22">FXY(D22,E22)</f>
        <v>20.073039743635601</v>
      </c>
      <c r="G22" s="25">
        <f t="shared" si="2"/>
        <v>1.0024938288030578</v>
      </c>
      <c r="H22" s="26"/>
      <c r="K22" s="8">
        <f t="shared" si="9"/>
        <v>13</v>
      </c>
      <c r="L22" s="6">
        <f>L21+$P$7</f>
        <v>3.2499999999999994E-2</v>
      </c>
      <c r="M22" s="6">
        <f t="shared" si="10"/>
        <v>0.952315698425235</v>
      </c>
      <c r="N22" s="6">
        <f>L22+h/2</f>
        <v>3.3749999999999995E-2</v>
      </c>
      <c r="O22" s="6" cm="1">
        <f t="array" ref="O22">M22 + FXY(L22,M22)*(h/2)</f>
        <v>0.97740699810755938</v>
      </c>
      <c r="P22" s="62" cm="1">
        <f t="array" ref="P22">M22 + h * FXY(N22,O22)</f>
        <v>1.0024986415034247</v>
      </c>
    </row>
    <row r="23" spans="3:25" x14ac:dyDescent="0.2">
      <c r="C23" s="8">
        <f t="shared" si="6"/>
        <v>14</v>
      </c>
      <c r="D23" s="6">
        <f>D22+$P$7</f>
        <v>3.4999999999999996E-2</v>
      </c>
      <c r="E23" s="6">
        <f t="shared" si="7"/>
        <v>1.0024938288030578</v>
      </c>
      <c r="F23" s="6" cm="1">
        <f t="array" ref="F23">FXY(D23,E23)</f>
        <v>20.073314712910246</v>
      </c>
      <c r="G23" s="25">
        <f t="shared" si="2"/>
        <v>1.0526771155853334</v>
      </c>
      <c r="H23" s="26"/>
      <c r="K23" s="8">
        <f t="shared" si="9"/>
        <v>14</v>
      </c>
      <c r="L23" s="6">
        <f>L22+$P$7</f>
        <v>3.4999999999999996E-2</v>
      </c>
      <c r="M23" s="6">
        <f t="shared" si="10"/>
        <v>1.0024986415034247</v>
      </c>
      <c r="N23" s="6">
        <f>L23+h/2</f>
        <v>3.6249999999999998E-2</v>
      </c>
      <c r="O23" s="6" cm="1">
        <f t="array" ref="O23">M23 + FXY(L23,M23)*(h/2)</f>
        <v>1.0275902848975556</v>
      </c>
      <c r="P23" s="62" cm="1">
        <f t="array" ref="P23">M23 + h * FXY(N23,O23)</f>
        <v>1.0526822719978621</v>
      </c>
    </row>
    <row r="24" spans="3:25" x14ac:dyDescent="0.2">
      <c r="C24" s="8">
        <f t="shared" si="6"/>
        <v>15</v>
      </c>
      <c r="D24" s="6">
        <f>D23+$P$7</f>
        <v>3.7499999999999999E-2</v>
      </c>
      <c r="E24" s="6">
        <f t="shared" si="7"/>
        <v>1.0526771155853334</v>
      </c>
      <c r="F24" s="6" cm="1">
        <f t="array" ref="F24">FXY(D24,E24)</f>
        <v>20.073589676293718</v>
      </c>
      <c r="G24" s="25">
        <f t="shared" si="2"/>
        <v>1.1028610897760678</v>
      </c>
      <c r="H24" s="26"/>
      <c r="K24" s="8">
        <f t="shared" si="9"/>
        <v>15</v>
      </c>
      <c r="L24" s="6">
        <f>L23+$P$7</f>
        <v>3.7499999999999999E-2</v>
      </c>
      <c r="M24" s="6">
        <f t="shared" si="10"/>
        <v>1.0526822719978621</v>
      </c>
      <c r="N24" s="6">
        <f>L24+h/2</f>
        <v>3.875E-2</v>
      </c>
      <c r="O24" s="6" cm="1">
        <f t="array" ref="O24">M24 + FXY(L24,M24)*(h/2)</f>
        <v>1.0777742590964352</v>
      </c>
      <c r="P24" s="62" cm="1">
        <f t="array" ref="P24">M24 + h * FXY(N24,O24)</f>
        <v>1.1028665898938228</v>
      </c>
    </row>
    <row r="25" spans="3:25" x14ac:dyDescent="0.2">
      <c r="C25" s="8">
        <f t="shared" si="6"/>
        <v>16</v>
      </c>
      <c r="D25" s="6">
        <f>D24+$P$7</f>
        <v>0.04</v>
      </c>
      <c r="E25" s="6">
        <f t="shared" si="7"/>
        <v>1.1028610897760678</v>
      </c>
      <c r="F25" s="6" cm="1">
        <f t="array" ref="F25">FXY(D25,E25)</f>
        <v>20.073864633788862</v>
      </c>
      <c r="G25" s="25">
        <f t="shared" si="2"/>
        <v>1.1530457513605399</v>
      </c>
      <c r="H25" s="26"/>
      <c r="K25" s="8">
        <f t="shared" si="9"/>
        <v>16</v>
      </c>
      <c r="L25" s="6">
        <f>L24+$P$7</f>
        <v>0.04</v>
      </c>
      <c r="M25" s="6">
        <f t="shared" si="10"/>
        <v>1.1028665898938228</v>
      </c>
      <c r="N25" s="6">
        <f>L25+h/2</f>
        <v>4.1250000000000002E-2</v>
      </c>
      <c r="O25" s="6" cm="1">
        <f t="array" ref="O25">M25 + FXY(L25,M25)*(h/2)</f>
        <v>1.1279589206894776</v>
      </c>
      <c r="P25" s="62" cm="1">
        <f t="array" ref="P25">M25 + h * FXY(N25,O25)</f>
        <v>1.1530515951765892</v>
      </c>
    </row>
    <row r="26" spans="3:25" x14ac:dyDescent="0.2">
      <c r="C26" s="8">
        <f t="shared" si="6"/>
        <v>17</v>
      </c>
      <c r="D26" s="6">
        <f>D25+$P$7</f>
        <v>4.2500000000000003E-2</v>
      </c>
      <c r="E26" s="6">
        <f t="shared" si="7"/>
        <v>1.1530457513605399</v>
      </c>
      <c r="F26" s="6" cm="1">
        <f t="array" ref="F26">FXY(D26,E26)</f>
        <v>20.074139585398513</v>
      </c>
      <c r="G26" s="25">
        <f t="shared" si="2"/>
        <v>1.2032311003240361</v>
      </c>
      <c r="H26" s="26"/>
      <c r="K26" s="8">
        <f t="shared" si="9"/>
        <v>17</v>
      </c>
      <c r="L26" s="6">
        <f>L25+$P$7</f>
        <v>4.2500000000000003E-2</v>
      </c>
      <c r="M26" s="6">
        <f t="shared" si="10"/>
        <v>1.1530515951765892</v>
      </c>
      <c r="N26" s="6">
        <f>L26+h/2</f>
        <v>4.3750000000000004E-2</v>
      </c>
      <c r="O26" s="6" cm="1">
        <f t="array" ref="O26">M26 + FXY(L26,M26)*(h/2)</f>
        <v>1.1781442696619688</v>
      </c>
      <c r="P26" s="62" cm="1">
        <f t="array" ref="P26">M26 + h * FXY(N26,O26)</f>
        <v>1.2032372878314508</v>
      </c>
    </row>
    <row r="27" spans="3:25" x14ac:dyDescent="0.2">
      <c r="C27" s="8">
        <f t="shared" si="6"/>
        <v>18</v>
      </c>
      <c r="D27" s="6">
        <f>D26+$P$7</f>
        <v>4.5000000000000005E-2</v>
      </c>
      <c r="E27" s="6">
        <f t="shared" si="7"/>
        <v>1.2032311003240361</v>
      </c>
      <c r="F27" s="6" cm="1">
        <f t="array" ref="F27">FXY(D27,E27)</f>
        <v>20.07441453112553</v>
      </c>
      <c r="G27" s="25">
        <f t="shared" si="2"/>
        <v>1.2534171366518501</v>
      </c>
      <c r="H27" s="26"/>
      <c r="K27" s="8">
        <f t="shared" si="9"/>
        <v>18</v>
      </c>
      <c r="L27" s="6">
        <f>L26+$P$7</f>
        <v>4.5000000000000005E-2</v>
      </c>
      <c r="M27" s="6">
        <f t="shared" si="10"/>
        <v>1.2032372878314508</v>
      </c>
      <c r="N27" s="6">
        <f>L27+h/2</f>
        <v>4.6250000000000006E-2</v>
      </c>
      <c r="O27" s="6" cm="1">
        <f t="array" ref="O27">M27 + FXY(L27,M27)*(h/2)</f>
        <v>1.2283303059992017</v>
      </c>
      <c r="P27" s="62" cm="1">
        <f t="array" ref="P27">M27 + h * FXY(N27,O27)</f>
        <v>1.2534236678437045</v>
      </c>
    </row>
    <row r="28" spans="3:25" x14ac:dyDescent="0.2">
      <c r="C28" s="8">
        <f t="shared" si="6"/>
        <v>19</v>
      </c>
      <c r="D28" s="6">
        <f>D27+$P$7</f>
        <v>4.7500000000000007E-2</v>
      </c>
      <c r="E28" s="6">
        <f t="shared" si="7"/>
        <v>1.2534171366518501</v>
      </c>
      <c r="F28" s="6" cm="1">
        <f t="array" ref="F28">FXY(D28,E28)</f>
        <v>20.074689470972746</v>
      </c>
      <c r="G28" s="25">
        <f t="shared" si="2"/>
        <v>1.3036038603292819</v>
      </c>
      <c r="H28" s="26"/>
      <c r="K28" s="8">
        <f t="shared" si="9"/>
        <v>19</v>
      </c>
      <c r="L28" s="6">
        <f>L27+$P$7</f>
        <v>4.7500000000000007E-2</v>
      </c>
      <c r="M28" s="6">
        <f t="shared" si="10"/>
        <v>1.2534236678437045</v>
      </c>
      <c r="N28" s="6">
        <f>L28+h/2</f>
        <v>4.8750000000000009E-2</v>
      </c>
      <c r="O28" s="6" cm="1">
        <f t="array" ref="O28">M28 + FXY(L28,M28)*(h/2)</f>
        <v>1.278517029686477</v>
      </c>
      <c r="P28" s="62" cm="1">
        <f t="array" ref="P28">M28 + h * FXY(N28,O28)</f>
        <v>1.3036107351986541</v>
      </c>
    </row>
    <row r="29" spans="3:25" ht="13.5" thickBot="1" x14ac:dyDescent="0.25">
      <c r="C29" s="10">
        <f t="shared" si="6"/>
        <v>20</v>
      </c>
      <c r="D29" s="11">
        <f>D28+$P$7</f>
        <v>5.000000000000001E-2</v>
      </c>
      <c r="E29" s="11">
        <f t="shared" si="7"/>
        <v>1.3036038603292819</v>
      </c>
      <c r="F29" s="11" cm="1">
        <f t="array" ref="F29">FXY(D29,E29)</f>
        <v>20.074964404942996</v>
      </c>
      <c r="G29" s="27">
        <f t="shared" si="2"/>
        <v>1.3537912713416393</v>
      </c>
      <c r="H29" s="28"/>
      <c r="K29" s="8">
        <f t="shared" si="9"/>
        <v>20</v>
      </c>
      <c r="L29" s="6">
        <f>L28+$P$7</f>
        <v>5.000000000000001E-2</v>
      </c>
      <c r="M29" s="6">
        <f t="shared" si="10"/>
        <v>1.3036107351986541</v>
      </c>
      <c r="N29" s="6">
        <f>L29+h/2</f>
        <v>5.1250000000000011E-2</v>
      </c>
      <c r="O29" s="6" cm="1">
        <f t="array" ref="O29">M29 + FXY(L29,M29)*(h/2)</f>
        <v>1.3287044407091018</v>
      </c>
      <c r="P29" s="62" cm="1">
        <f t="array" ref="P29">M29 + h * FXY(N29,O29)</f>
        <v>1.3537984898816107</v>
      </c>
    </row>
    <row r="30" spans="3:25" x14ac:dyDescent="0.2">
      <c r="K30" s="8">
        <f t="shared" si="9"/>
        <v>21</v>
      </c>
      <c r="L30" s="6">
        <f>L29+$P$7</f>
        <v>5.2500000000000012E-2</v>
      </c>
      <c r="M30" s="6">
        <f t="shared" si="10"/>
        <v>1.3537984898816107</v>
      </c>
      <c r="N30" s="6">
        <f>L30+h/2</f>
        <v>5.3750000000000013E-2</v>
      </c>
      <c r="O30" s="6" cm="1">
        <f t="array" ref="O30">M30 + FXY(L30,M30)*(h/2)</f>
        <v>1.3788925390523907</v>
      </c>
      <c r="P30" s="62" cm="1">
        <f t="array" ref="P30">M30 + h * FXY(N30,O30)</f>
        <v>1.4039869318778919</v>
      </c>
    </row>
    <row r="31" spans="3:25" ht="13.5" thickBot="1" x14ac:dyDescent="0.25">
      <c r="K31" s="8">
        <f t="shared" si="9"/>
        <v>22</v>
      </c>
      <c r="L31" s="6">
        <f>L30+$P$7</f>
        <v>5.5000000000000014E-2</v>
      </c>
      <c r="M31" s="6">
        <f t="shared" si="10"/>
        <v>1.4039869318778919</v>
      </c>
      <c r="N31" s="6">
        <f>L31+h/2</f>
        <v>5.6250000000000015E-2</v>
      </c>
      <c r="O31" s="6" cm="1">
        <f t="array" ref="O31">M31 + FXY(L31,M31)*(h/2)</f>
        <v>1.4290813247016654</v>
      </c>
      <c r="P31" s="62" cm="1">
        <f t="array" ref="P31">M31 + h * FXY(N31,O31)</f>
        <v>1.4541760611728232</v>
      </c>
    </row>
    <row r="32" spans="3:25" ht="15.75" thickBot="1" x14ac:dyDescent="0.3">
      <c r="C32" s="33" t="s">
        <v>20</v>
      </c>
      <c r="D32" s="34"/>
      <c r="E32" s="34"/>
      <c r="F32" s="34"/>
      <c r="G32" s="35"/>
      <c r="K32" s="8">
        <f t="shared" si="9"/>
        <v>23</v>
      </c>
      <c r="L32" s="6">
        <f>L31+$P$7</f>
        <v>5.7500000000000016E-2</v>
      </c>
      <c r="M32" s="6">
        <f t="shared" si="10"/>
        <v>1.4541760611728232</v>
      </c>
      <c r="N32" s="6">
        <f>L32+h/2</f>
        <v>5.8750000000000017E-2</v>
      </c>
      <c r="O32" s="6" cm="1">
        <f t="array" ref="O32">M32 + FXY(L32,M32)*(h/2)</f>
        <v>1.4792707976422541</v>
      </c>
      <c r="P32" s="62" cm="1">
        <f t="array" ref="P32">M32 + h * FXY(N32,O32)</f>
        <v>1.5043658777517366</v>
      </c>
    </row>
    <row r="33" spans="3:16" ht="15.75" thickBot="1" x14ac:dyDescent="0.3">
      <c r="C33" s="36" t="s">
        <v>30</v>
      </c>
      <c r="D33" s="37"/>
      <c r="E33" s="37"/>
      <c r="F33" s="37"/>
      <c r="G33" s="38"/>
      <c r="K33" s="8">
        <f t="shared" ref="K33:K34" si="11">K32+1</f>
        <v>24</v>
      </c>
      <c r="L33" s="6">
        <f>L32+$P$7</f>
        <v>6.0000000000000019E-2</v>
      </c>
      <c r="M33" s="6">
        <f t="shared" ref="M33:M34" si="12">P32</f>
        <v>1.5043658777517366</v>
      </c>
      <c r="N33" s="6">
        <f>L33+h/2</f>
        <v>6.125000000000002E-2</v>
      </c>
      <c r="O33" s="6" cm="1">
        <f t="array" ref="O33">M33 + FXY(L33,M33)*(h/2)</f>
        <v>1.5294609578594929</v>
      </c>
      <c r="P33" s="62" cm="1">
        <f t="array" ref="P33">M33 + h * FXY(N33,O33)</f>
        <v>1.5545563815999712</v>
      </c>
    </row>
    <row r="34" spans="3:16" ht="15.75" thickBot="1" x14ac:dyDescent="0.3">
      <c r="C34" s="29" t="s">
        <v>18</v>
      </c>
      <c r="D34" s="55" t="s">
        <v>35</v>
      </c>
      <c r="E34" s="30" t="s">
        <v>21</v>
      </c>
      <c r="F34" s="30" t="s">
        <v>22</v>
      </c>
      <c r="G34" s="58"/>
      <c r="H34" s="59"/>
      <c r="K34" s="10">
        <f t="shared" si="11"/>
        <v>25</v>
      </c>
      <c r="L34" s="11">
        <f>L33+$P$7</f>
        <v>6.2500000000000014E-2</v>
      </c>
      <c r="M34" s="11">
        <f t="shared" si="12"/>
        <v>1.5545563815999712</v>
      </c>
      <c r="N34" s="11">
        <f>L34+h/2</f>
        <v>6.3750000000000015E-2</v>
      </c>
      <c r="O34" s="11" cm="1">
        <f t="array" ref="O34">M34 + FXY(L34,M34)*(h/2)</f>
        <v>1.5796518053387245</v>
      </c>
      <c r="P34" s="63" cm="1">
        <f t="array" ref="P34">M34 + h * FXY(N34,O34)</f>
        <v>1.6047475727028737</v>
      </c>
    </row>
    <row r="35" spans="3:16" ht="15" x14ac:dyDescent="0.25">
      <c r="C35" s="29">
        <f>M9</f>
        <v>0.3</v>
      </c>
      <c r="D35" s="30">
        <f>M10</f>
        <v>0.35017400532378135</v>
      </c>
      <c r="E35" s="30">
        <f>M11</f>
        <v>0.40034869825588038</v>
      </c>
      <c r="F35" s="30">
        <f>M12</f>
        <v>0.45052407878147954</v>
      </c>
      <c r="G35" s="58"/>
      <c r="H35" s="59"/>
    </row>
    <row r="36" spans="3:16" ht="15" x14ac:dyDescent="0.25">
      <c r="C36" s="29" t="s">
        <v>26</v>
      </c>
      <c r="D36" s="30" t="s">
        <v>27</v>
      </c>
      <c r="E36" s="30" t="s">
        <v>28</v>
      </c>
      <c r="F36" s="30" t="s">
        <v>29</v>
      </c>
      <c r="G36" s="58"/>
      <c r="H36" s="59"/>
    </row>
    <row r="37" spans="3:16" ht="15.75" thickBot="1" x14ac:dyDescent="0.3">
      <c r="C37" s="8" cm="1">
        <f t="array" ref="C37">FXY(L9,M9)</f>
        <v>20.069464605668369</v>
      </c>
      <c r="D37" s="6" cm="1">
        <f t="array" ref="D37">FXY(L10,M10)</f>
        <v>20.069739651960042</v>
      </c>
      <c r="E37" s="6" cm="1">
        <f t="array" ref="E37">FXY(L11,M11)</f>
        <v>20.070014692323234</v>
      </c>
      <c r="F37" s="6" cm="1">
        <f t="array" ref="F37">FXY(L12,M12)</f>
        <v>20.070289726760826</v>
      </c>
      <c r="G37" s="58"/>
      <c r="H37" s="59"/>
    </row>
    <row r="38" spans="3:16" ht="15.75" thickBot="1" x14ac:dyDescent="0.3">
      <c r="C38" s="36" t="s">
        <v>31</v>
      </c>
      <c r="D38" s="37"/>
      <c r="E38" s="37"/>
      <c r="F38" s="37"/>
      <c r="G38" s="38"/>
      <c r="H38" s="59"/>
    </row>
    <row r="39" spans="3:16" ht="15.75" thickBot="1" x14ac:dyDescent="0.3">
      <c r="C39" s="49"/>
      <c r="D39" s="51"/>
      <c r="E39" s="53" t="s">
        <v>25</v>
      </c>
      <c r="F39" s="53" t="s">
        <v>24</v>
      </c>
      <c r="G39" s="39"/>
      <c r="H39" s="59"/>
    </row>
    <row r="40" spans="3:16" ht="15.75" thickBot="1" x14ac:dyDescent="0.3">
      <c r="C40" s="50" t="s">
        <v>14</v>
      </c>
      <c r="D40" s="53" t="s">
        <v>32</v>
      </c>
      <c r="E40" s="52" t="s">
        <v>34</v>
      </c>
      <c r="F40" s="57" t="s">
        <v>36</v>
      </c>
      <c r="G40" s="32" t="s">
        <v>33</v>
      </c>
      <c r="H40" s="59"/>
      <c r="I40" s="61" t="s">
        <v>37</v>
      </c>
    </row>
    <row r="41" spans="3:16" ht="15" x14ac:dyDescent="0.25">
      <c r="C41" s="41">
        <v>4</v>
      </c>
      <c r="D41" s="47">
        <f>L12+$A$3</f>
        <v>0.01</v>
      </c>
      <c r="E41" s="42">
        <f>C35+ ((4/3) * A3) * (2*D37 - E37 + 2*F37)</f>
        <v>0.50070014688372833</v>
      </c>
      <c r="F41" s="42">
        <f>E35 + (A3/3) * (E37 + 4 * F37 + E41)</f>
        <v>0.48439192637775563</v>
      </c>
      <c r="G41" s="43" cm="1">
        <f t="array" ref="G41">FXY(D41,F41)</f>
        <v>20.070556621197468</v>
      </c>
      <c r="H41" s="59"/>
      <c r="I41">
        <f>(-1/29) * (F41 - E41)</f>
        <v>5.6235243124043769E-4</v>
      </c>
    </row>
    <row r="42" spans="3:16" ht="15" x14ac:dyDescent="0.25">
      <c r="C42" s="44">
        <f>1+C41</f>
        <v>5</v>
      </c>
      <c r="D42" s="48">
        <f>D41+$A$3</f>
        <v>1.2500000000000001E-2</v>
      </c>
      <c r="E42" s="40">
        <f>D35+ ((4/3) * A3) * (2*E37 - F37 + 2*G41)</f>
        <v>0.55087684832471662</v>
      </c>
      <c r="F42" s="40">
        <f>F35 + (A3/3) * (F37 + 4 * G41 + E42)</f>
        <v>0.534610239664709</v>
      </c>
      <c r="G42" s="56" cm="1">
        <f t="array" ref="G42">FXY(D42,F42)</f>
        <v>20.070831666551065</v>
      </c>
      <c r="H42" s="59"/>
      <c r="I42">
        <f t="shared" ref="I42:I57" si="13">(-1/29) * (F42 - E42)</f>
        <v>5.6091754000026279E-4</v>
      </c>
    </row>
    <row r="43" spans="3:16" ht="15" x14ac:dyDescent="0.25">
      <c r="C43" s="44">
        <f t="shared" ref="C43:C56" si="14">1+C42</f>
        <v>6</v>
      </c>
      <c r="D43" s="40">
        <f>D42+$A$3</f>
        <v>1.5000000000000001E-2</v>
      </c>
      <c r="E43" s="40">
        <f>E35+ ((4/3) * A3) * (2*F37 - G41 + 2*G42)</f>
        <v>0.60105431880730142</v>
      </c>
      <c r="F43" s="40">
        <f>E41 + (A3/3) * (G41 + 4 * G42 + E43)</f>
        <v>0.58482926155556925</v>
      </c>
      <c r="G43" s="56" cm="1">
        <f t="array" ref="G43">FXY(D43,F43)</f>
        <v>20.071106705986811</v>
      </c>
      <c r="H43" s="59"/>
      <c r="I43">
        <f t="shared" si="13"/>
        <v>5.5948473281835099E-4</v>
      </c>
    </row>
    <row r="44" spans="3:16" ht="15.75" thickBot="1" x14ac:dyDescent="0.3">
      <c r="C44" s="45">
        <f t="shared" si="14"/>
        <v>7</v>
      </c>
      <c r="D44" s="46">
        <f>D43+$A$3</f>
        <v>1.7500000000000002E-2</v>
      </c>
      <c r="E44" s="46">
        <f>F35+ ((4/3) * A3) * (2*G41 - G42 + 2*G43)</f>
        <v>0.65123239540753786</v>
      </c>
      <c r="F44" s="46">
        <f>E42 + (A3/3) * (G42 + 4 * G43 + E44)</f>
        <v>0.63504892406297153</v>
      </c>
      <c r="G44" s="31" cm="1">
        <f t="array" ref="G44">FXY(D44,F44)</f>
        <v>20.071381739473686</v>
      </c>
      <c r="H44" s="59"/>
      <c r="I44">
        <f t="shared" si="13"/>
        <v>5.5805073601952846E-4</v>
      </c>
    </row>
    <row r="45" spans="3:16" x14ac:dyDescent="0.2">
      <c r="C45" s="41">
        <f t="shared" si="14"/>
        <v>8</v>
      </c>
      <c r="D45" s="42">
        <f>D44+$A$3</f>
        <v>0.02</v>
      </c>
      <c r="E45" s="42">
        <f>E41+ ((4/3) * A3) * (2*G42 - G43 + 2*G44)</f>
        <v>0.70141121390393724</v>
      </c>
      <c r="F45" s="42">
        <f>E43 + ($A$3/3) * (G43 + 4 * G44 + E45)</f>
        <v>0.68526935620545604</v>
      </c>
      <c r="G45" s="54" cm="1">
        <f t="array" ref="G45">FXY(D45,F45)</f>
        <v>20.071656767078874</v>
      </c>
      <c r="I45">
        <f t="shared" si="13"/>
        <v>5.5661578270624823E-4</v>
      </c>
    </row>
    <row r="46" spans="3:16" x14ac:dyDescent="0.2">
      <c r="C46" s="44">
        <f t="shared" si="14"/>
        <v>9</v>
      </c>
      <c r="D46" s="40">
        <f>D45+$A$3</f>
        <v>2.2499999999999999E-2</v>
      </c>
      <c r="E46" s="60">
        <f>E42+ ((4/3) * $A$3) * (2*G43 - G44 + 2*G45)</f>
        <v>0.75159066568024224</v>
      </c>
      <c r="F46" s="60">
        <f>E44 + ($A$3/3) * (G44 + 4 * G45 + E46)</f>
        <v>0.73549039496876234</v>
      </c>
      <c r="G46" s="56" cm="1">
        <f t="array" ref="G46">FXY(D46,F46)</f>
        <v>20.071931788724022</v>
      </c>
      <c r="I46">
        <f t="shared" si="13"/>
        <v>5.5518174867172072E-4</v>
      </c>
    </row>
    <row r="47" spans="3:16" x14ac:dyDescent="0.2">
      <c r="C47" s="44">
        <f t="shared" si="14"/>
        <v>10</v>
      </c>
      <c r="D47" s="40">
        <f>D46+$A$3</f>
        <v>2.4999999999999998E-2</v>
      </c>
      <c r="E47" s="40">
        <f>E43+ ((4/3) * $A$3) * (2*G44 - G45 + 2*G46)</f>
        <v>0.80177088643835659</v>
      </c>
      <c r="F47" s="40">
        <f>E45 + ($A$3/3) * (G45 + 4 * G46 + E47)</f>
        <v>0.78571217624428169</v>
      </c>
      <c r="G47" s="56" cm="1">
        <f t="array" ref="G47">FXY(D47,F47)</f>
        <v>20.072206804479713</v>
      </c>
      <c r="I47">
        <f t="shared" si="13"/>
        <v>5.5374862738189303E-4</v>
      </c>
    </row>
    <row r="48" spans="3:16" x14ac:dyDescent="0.2">
      <c r="C48" s="44">
        <f t="shared" si="14"/>
        <v>11</v>
      </c>
      <c r="D48" s="40">
        <f>D47+$A$3</f>
        <v>2.7499999999999997E-2</v>
      </c>
      <c r="E48" s="40">
        <f>E44+ ((4/3) * $A$3) * (2*G45 - G46 + 2*G47)</f>
        <v>0.851951713255515</v>
      </c>
      <c r="F48" s="40">
        <f>E46 + ($A$3/3) * (G46 + 4 * G47 + E48)</f>
        <v>0.83593459128015757</v>
      </c>
      <c r="G48" s="56" cm="1">
        <f t="array" ref="G48">FXY(D48,F48)</f>
        <v>20.072481814294644</v>
      </c>
      <c r="I48">
        <f t="shared" si="13"/>
        <v>5.523145508743941E-4</v>
      </c>
    </row>
    <row r="49" spans="3:9" x14ac:dyDescent="0.2">
      <c r="C49" s="44">
        <f t="shared" si="14"/>
        <v>12</v>
      </c>
      <c r="D49" s="40">
        <f>D48+$A$3</f>
        <v>2.9999999999999995E-2</v>
      </c>
      <c r="E49" s="40">
        <f>E45+ ((4/3) * $A$3) * (2*G46 - G47 + 2*G48)</f>
        <v>0.90213328190912923</v>
      </c>
      <c r="F49" s="40">
        <f>E47 + ($A$3/3) * (G47 + 4 * G48 + E49)</f>
        <v>0.88615777589132949</v>
      </c>
      <c r="G49" s="56" cm="1">
        <f t="array" ref="G49">FXY(D49,F49)</f>
        <v>20.072756818239327</v>
      </c>
      <c r="I49">
        <f t="shared" si="13"/>
        <v>5.5087951785516326E-4</v>
      </c>
    </row>
    <row r="50" spans="3:9" x14ac:dyDescent="0.2">
      <c r="C50" s="44">
        <f t="shared" si="14"/>
        <v>13</v>
      </c>
      <c r="D50" s="40">
        <f>D49+$A$3</f>
        <v>3.2499999999999994E-2</v>
      </c>
      <c r="E50" s="40">
        <f>E46+ ((4/3) * $A$3) * (2*G47 - G48 + 2*G49)</f>
        <v>0.95231548378405373</v>
      </c>
      <c r="F50" s="40">
        <f>E48 + ($A$3/3) * (G48 + 4 * G49 + E50)</f>
        <v>0.93638156706471165</v>
      </c>
      <c r="G50" s="56" cm="1">
        <f t="array" ref="G50">FXY(D50,F50)</f>
        <v>20.073031816235467</v>
      </c>
      <c r="I50">
        <f t="shared" si="13"/>
        <v>5.4944540411524406E-4</v>
      </c>
    </row>
    <row r="51" spans="3:9" x14ac:dyDescent="0.2">
      <c r="C51" s="44">
        <f t="shared" si="14"/>
        <v>14</v>
      </c>
      <c r="D51" s="40">
        <f>D50+$A$3</f>
        <v>3.4999999999999996E-2</v>
      </c>
      <c r="E51" s="40">
        <f>E47+ ((4/3) * $A$3) * (2*G48 - G49 + 2*G50)</f>
        <v>1.0024984545810929</v>
      </c>
      <c r="F51" s="40">
        <f>E49 + ($A$3/3) * (G49 + 4 * G50 + E51)</f>
        <v>0.98660610069059784</v>
      </c>
      <c r="G51" s="56" cm="1">
        <f t="array" ref="G51">FXY(D51,F51)</f>
        <v>20.073306808353571</v>
      </c>
      <c r="I51">
        <f t="shared" si="13"/>
        <v>5.4801220312051852E-4</v>
      </c>
    </row>
    <row r="52" spans="3:9" x14ac:dyDescent="0.2">
      <c r="C52" s="44">
        <f t="shared" si="14"/>
        <v>15</v>
      </c>
      <c r="D52" s="40">
        <f>D51+$A$3</f>
        <v>3.7499999999999999E-2</v>
      </c>
      <c r="E52" s="40">
        <f>E48+ ((4/3) * $A$3) * (2*G49 - G50 + 2*G51)</f>
        <v>1.0526820313786827</v>
      </c>
      <c r="F52" s="40">
        <f>E50 + ($A$3/3) * (G50 + 4 * G51 + E52)</f>
        <v>1.0368312680182441</v>
      </c>
      <c r="G52" s="56" cm="1">
        <f t="array" ref="G52">FXY(D52,F52)</f>
        <v>20.073581794542395</v>
      </c>
      <c r="I52">
        <f t="shared" si="13"/>
        <v>5.4657804691167445E-4</v>
      </c>
    </row>
    <row r="53" spans="3:9" x14ac:dyDescent="0.2">
      <c r="C53" s="44">
        <f t="shared" si="14"/>
        <v>16</v>
      </c>
      <c r="D53" s="40">
        <f>D52+$A$3</f>
        <v>0.04</v>
      </c>
      <c r="E53" s="40">
        <f>E49+ ((4/3) * $A$3) * (2*G50 - G51 + 2*G52)</f>
        <v>1.1028663499531364</v>
      </c>
      <c r="F53" s="40">
        <f>E51 + ($A$3/3) * (G51 + 4 * G52 + E53)</f>
        <v>1.0870572048614897</v>
      </c>
      <c r="G53" s="56" cm="1">
        <f t="array" ref="G53">FXY(D53,F53)</f>
        <v>20.073856774872361</v>
      </c>
      <c r="I53">
        <f t="shared" si="13"/>
        <v>5.4514293419471234E-4</v>
      </c>
    </row>
    <row r="54" spans="3:9" x14ac:dyDescent="0.2">
      <c r="C54" s="44">
        <f t="shared" si="14"/>
        <v>17</v>
      </c>
      <c r="D54" s="40">
        <f>D53+$A$3</f>
        <v>4.2500000000000003E-2</v>
      </c>
      <c r="E54" s="40">
        <f>E50+ ((4/3) * $A$3) * (2*G51 - G52 + 2*G53)</f>
        <v>1.1530513016904187</v>
      </c>
      <c r="F54" s="40">
        <f>E52 + ($A$3/3) * (G52 + 4 * G53 + E54)</f>
        <v>1.1372837482084512</v>
      </c>
      <c r="G54" s="56" cm="1">
        <f t="array" ref="G54">FXY(D54,F54)</f>
        <v>20.074131749265252</v>
      </c>
      <c r="I54">
        <f t="shared" si="13"/>
        <v>5.4370874075749848E-4</v>
      </c>
    </row>
    <row r="55" spans="3:9" x14ac:dyDescent="0.2">
      <c r="C55" s="44">
        <f t="shared" si="14"/>
        <v>18</v>
      </c>
      <c r="D55" s="40">
        <f>D54+$A$3</f>
        <v>4.5000000000000005E-2</v>
      </c>
      <c r="E55" s="40">
        <f>E51+ ((4/3) * $A$3) * (2*G52 - G53 + 2*G54)</f>
        <v>1.203237022290236</v>
      </c>
      <c r="F55" s="40">
        <f>E53 + ($A$3/3) * (G53 + 4 * G54 + E55)</f>
        <v>1.1875110339483228</v>
      </c>
      <c r="G55" s="56" cm="1">
        <f t="array" ref="G55">FXY(D55,F55)</f>
        <v>20.074406717791504</v>
      </c>
      <c r="I55">
        <f t="shared" si="13"/>
        <v>5.4227546006597202E-4</v>
      </c>
    </row>
    <row r="56" spans="3:9" x14ac:dyDescent="0.2">
      <c r="C56" s="44">
        <f t="shared" si="14"/>
        <v>19</v>
      </c>
      <c r="D56" s="40">
        <f>D55+$A$3</f>
        <v>4.7500000000000007E-2</v>
      </c>
      <c r="E56" s="40">
        <f>E52+ ((4/3) * $A$3) * (2*G53 - G54 + 2*G55)</f>
        <v>1.2534233488322242</v>
      </c>
      <c r="F56" s="40">
        <f>E54 + ($A$3/3) * (G54 + 4 * G55 + E56)</f>
        <v>1.2377389533314715</v>
      </c>
      <c r="G56" s="56" cm="1">
        <f t="array" ref="G56">FXY(D56,F56)</f>
        <v>20.074681680399912</v>
      </c>
      <c r="I56">
        <f t="shared" si="13"/>
        <v>5.4084122416388355E-4</v>
      </c>
    </row>
    <row r="57" spans="3:9" ht="13.5" thickBot="1" x14ac:dyDescent="0.25">
      <c r="C57" s="45">
        <f>1+C56</f>
        <v>20</v>
      </c>
      <c r="D57" s="46">
        <f>D56+$A$3</f>
        <v>5.000000000000001E-2</v>
      </c>
      <c r="E57" s="46">
        <f>E53+ ((4/3) * $A$3) * (2*G54 - G55 + 2*G56)</f>
        <v>1.3036104170915992</v>
      </c>
      <c r="F57" s="46">
        <f>E55 + ($A$3/3) * (G55 + 4 * G56 + E57)</f>
        <v>1.2879676421706383</v>
      </c>
      <c r="G57" s="31" cm="1">
        <f t="array" ref="G57">FXY(D57,F57)</f>
        <v>20.07495663716082</v>
      </c>
      <c r="I57">
        <f t="shared" si="13"/>
        <v>5.3940603175727203E-4</v>
      </c>
    </row>
  </sheetData>
  <mergeCells count="31">
    <mergeCell ref="K5:P5"/>
    <mergeCell ref="K6:P6"/>
    <mergeCell ref="R5:Y5"/>
    <mergeCell ref="R6:Y6"/>
    <mergeCell ref="C38:G38"/>
    <mergeCell ref="C32:G32"/>
    <mergeCell ref="C33:G33"/>
    <mergeCell ref="G29:H29"/>
    <mergeCell ref="G8:H8"/>
    <mergeCell ref="C5:H5"/>
    <mergeCell ref="C6:H6"/>
    <mergeCell ref="G24:H24"/>
    <mergeCell ref="G25:H25"/>
    <mergeCell ref="G26:H26"/>
    <mergeCell ref="G27:H27"/>
    <mergeCell ref="G28:H28"/>
    <mergeCell ref="G19:H19"/>
    <mergeCell ref="G20:H20"/>
    <mergeCell ref="G21:H21"/>
    <mergeCell ref="G22:H22"/>
    <mergeCell ref="G23:H23"/>
    <mergeCell ref="G14:H14"/>
    <mergeCell ref="G15:H15"/>
    <mergeCell ref="G16:H16"/>
    <mergeCell ref="G17:H17"/>
    <mergeCell ref="G18:H18"/>
    <mergeCell ref="G9:H9"/>
    <mergeCell ref="G10:H10"/>
    <mergeCell ref="G11:H11"/>
    <mergeCell ref="G12:H12"/>
    <mergeCell ref="G13:H13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RK2 - RK4</vt:lpstr>
      <vt:lpstr>'RK2 - RK4'!h</vt:lpstr>
    </vt:vector>
  </TitlesOfParts>
  <Company>SDSU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SDSU</dc:creator>
  <cp:lastModifiedBy>Ramiro Olivencia</cp:lastModifiedBy>
  <dcterms:created xsi:type="dcterms:W3CDTF">1999-10-28T21:45:53Z</dcterms:created>
  <dcterms:modified xsi:type="dcterms:W3CDTF">2021-01-13T05:58:37Z</dcterms:modified>
</cp:coreProperties>
</file>