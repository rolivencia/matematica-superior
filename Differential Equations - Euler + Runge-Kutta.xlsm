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dbaf62a2830c877/UTN/Matemática Superior/"/>
    </mc:Choice>
  </mc:AlternateContent>
  <xr:revisionPtr revIDLastSave="59" documentId="13_ncr:4000b_{9642FEC0-5592-4480-A205-450D90C089B3}" xr6:coauthVersionLast="45" xr6:coauthVersionMax="45" xr10:uidLastSave="{8DA7E8AC-7DD7-4522-8EB2-7BD5C62FAE5C}"/>
  <bookViews>
    <workbookView xWindow="0" yWindow="0" windowWidth="25800" windowHeight="21000" xr2:uid="{00000000-000D-0000-FFFF-FFFF00000000}"/>
  </bookViews>
  <sheets>
    <sheet name="RK2 - RK4" sheetId="4" r:id="rId1"/>
  </sheets>
  <functionGroups builtInGroupCount="19"/>
  <externalReferences>
    <externalReference r:id="rId2"/>
  </externalReferences>
  <definedNames>
    <definedName name="h" localSheetId="0">'RK2 - RK4'!$O$9</definedName>
    <definedName name="h">[1]Euler!$G$4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9" i="4" l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J11" i="4" l="1"/>
  <c r="L11" i="4" s="1"/>
  <c r="K11" i="4"/>
  <c r="I12" i="4"/>
  <c r="J12" i="4"/>
  <c r="L12" i="4" s="1"/>
  <c r="I13" i="4"/>
  <c r="I14" i="4"/>
  <c r="I15" i="4"/>
  <c r="I16" i="4"/>
  <c r="I17" i="4"/>
  <c r="I18" i="4"/>
  <c r="I19" i="4"/>
  <c r="I20" i="4"/>
  <c r="I21" i="4"/>
  <c r="J29" i="4"/>
  <c r="K29" i="4"/>
  <c r="L29" i="4" a="1"/>
  <c r="L29" i="4"/>
  <c r="C11" i="4"/>
  <c r="A12" i="4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D11" i="4" a="1"/>
  <c r="M11" i="4" a="1"/>
  <c r="M29" i="4" a="1"/>
  <c r="J13" i="4" l="1"/>
  <c r="L13" i="4" s="1"/>
  <c r="M29" i="4"/>
  <c r="M11" i="4"/>
  <c r="D11" i="4"/>
  <c r="E11" i="4" s="1"/>
  <c r="C12" i="4" s="1"/>
  <c r="I30" i="4"/>
  <c r="I31" i="4" s="1"/>
  <c r="I32" i="4" s="1"/>
  <c r="I33" i="4" s="1"/>
  <c r="I34" i="4" s="1"/>
  <c r="I35" i="4" s="1"/>
  <c r="I36" i="4" s="1"/>
  <c r="I37" i="4" s="1"/>
  <c r="I38" i="4" s="1"/>
  <c r="I39" i="4" s="1"/>
  <c r="J30" i="4"/>
  <c r="J31" i="4" s="1"/>
  <c r="J32" i="4" s="1"/>
  <c r="J33" i="4" s="1"/>
  <c r="J34" i="4" s="1"/>
  <c r="J35" i="4" s="1"/>
  <c r="J36" i="4" s="1"/>
  <c r="J37" i="4" s="1"/>
  <c r="J38" i="4" s="1"/>
  <c r="J39" i="4" s="1"/>
  <c r="N11" i="4" a="1"/>
  <c r="N29" i="4" a="1"/>
  <c r="D12" i="4" a="1"/>
  <c r="J14" i="4" l="1"/>
  <c r="L14" i="4" s="1"/>
  <c r="N29" i="4"/>
  <c r="N11" i="4"/>
  <c r="K12" i="4" s="1"/>
  <c r="D12" i="4"/>
  <c r="E12" i="4" s="1"/>
  <c r="J15" i="4" l="1"/>
  <c r="L15" i="4" s="1"/>
  <c r="C13" i="4"/>
  <c r="M12" i="4" a="1"/>
  <c r="D13" i="4" a="1"/>
  <c r="J16" i="4" l="1"/>
  <c r="L16" i="4" s="1"/>
  <c r="M12" i="4"/>
  <c r="D13" i="4"/>
  <c r="E13" i="4"/>
  <c r="O29" i="4" a="1"/>
  <c r="N12" i="4" a="1"/>
  <c r="J17" i="4" l="1"/>
  <c r="J18" i="4" s="1"/>
  <c r="N12" i="4"/>
  <c r="K13" i="4" s="1"/>
  <c r="C14" i="4"/>
  <c r="O29" i="4"/>
  <c r="P29" i="4"/>
  <c r="K30" i="4" s="1"/>
  <c r="L30" i="4" a="1"/>
  <c r="D14" i="4" a="1"/>
  <c r="L17" i="4" l="1"/>
  <c r="L18" i="4"/>
  <c r="J19" i="4"/>
  <c r="D14" i="4"/>
  <c r="E14" i="4" s="1"/>
  <c r="C15" i="4" s="1"/>
  <c r="L30" i="4"/>
  <c r="M30" i="4" a="1"/>
  <c r="M13" i="4" a="1"/>
  <c r="D15" i="4" a="1"/>
  <c r="M13" i="4" l="1"/>
  <c r="J20" i="4"/>
  <c r="L19" i="4"/>
  <c r="D15" i="4"/>
  <c r="E15" i="4"/>
  <c r="C16" i="4" s="1"/>
  <c r="M30" i="4"/>
  <c r="N13" i="4" a="1"/>
  <c r="N30" i="4" a="1"/>
  <c r="D16" i="4" a="1"/>
  <c r="N13" i="4" l="1"/>
  <c r="K14" i="4" s="1"/>
  <c r="J21" i="4"/>
  <c r="L21" i="4" s="1"/>
  <c r="L20" i="4"/>
  <c r="D16" i="4"/>
  <c r="E16" i="4"/>
  <c r="C17" i="4" s="1"/>
  <c r="N30" i="4"/>
  <c r="O30" i="4" a="1"/>
  <c r="D17" i="4" a="1"/>
  <c r="D17" i="4" l="1"/>
  <c r="E17" i="4"/>
  <c r="C18" i="4" s="1"/>
  <c r="O30" i="4"/>
  <c r="P30" i="4"/>
  <c r="K31" i="4" s="1"/>
  <c r="M14" i="4" a="1"/>
  <c r="L31" i="4" a="1"/>
  <c r="D18" i="4" a="1"/>
  <c r="M14" i="4" l="1"/>
  <c r="D18" i="4"/>
  <c r="E18" i="4"/>
  <c r="C19" i="4" s="1"/>
  <c r="L31" i="4"/>
  <c r="N14" i="4" a="1"/>
  <c r="M31" i="4" a="1"/>
  <c r="D19" i="4" a="1"/>
  <c r="N14" i="4" l="1"/>
  <c r="K15" i="4" s="1"/>
  <c r="D19" i="4"/>
  <c r="E19" i="4"/>
  <c r="C20" i="4" s="1"/>
  <c r="M31" i="4"/>
  <c r="N31" i="4" a="1"/>
  <c r="D20" i="4" a="1"/>
  <c r="D20" i="4" l="1"/>
  <c r="E20" i="4" s="1"/>
  <c r="C21" i="4" s="1"/>
  <c r="N31" i="4"/>
  <c r="M15" i="4" a="1"/>
  <c r="O31" i="4" a="1"/>
  <c r="D21" i="4" a="1"/>
  <c r="M15" i="4" l="1"/>
  <c r="D21" i="4"/>
  <c r="E21" i="4" s="1"/>
  <c r="C22" i="4" s="1"/>
  <c r="O31" i="4"/>
  <c r="P31" i="4" s="1"/>
  <c r="K32" i="4" s="1"/>
  <c r="N15" i="4" a="1"/>
  <c r="L32" i="4" a="1"/>
  <c r="D22" i="4" a="1"/>
  <c r="N15" i="4" l="1"/>
  <c r="K16" i="4" s="1"/>
  <c r="D22" i="4"/>
  <c r="E22" i="4" s="1"/>
  <c r="C23" i="4" s="1"/>
  <c r="L32" i="4"/>
  <c r="M32" i="4" a="1"/>
  <c r="D23" i="4" a="1"/>
  <c r="D23" i="4" l="1"/>
  <c r="E23" i="4"/>
  <c r="C24" i="4" s="1"/>
  <c r="M32" i="4"/>
  <c r="M16" i="4" a="1"/>
  <c r="N32" i="4" a="1"/>
  <c r="D24" i="4" a="1"/>
  <c r="M16" i="4" l="1"/>
  <c r="D24" i="4"/>
  <c r="E24" i="4"/>
  <c r="C25" i="4" s="1"/>
  <c r="N32" i="4"/>
  <c r="N16" i="4" a="1"/>
  <c r="O32" i="4" a="1"/>
  <c r="D25" i="4" a="1"/>
  <c r="N16" i="4" l="1"/>
  <c r="K17" i="4" s="1"/>
  <c r="D25" i="4"/>
  <c r="E25" i="4" s="1"/>
  <c r="C26" i="4" s="1"/>
  <c r="O32" i="4"/>
  <c r="P32" i="4" s="1"/>
  <c r="K33" i="4" s="1"/>
  <c r="L33" i="4" a="1"/>
  <c r="D26" i="4" a="1"/>
  <c r="D26" i="4" l="1"/>
  <c r="E26" i="4"/>
  <c r="C27" i="4" s="1"/>
  <c r="L33" i="4"/>
  <c r="M17" i="4" a="1"/>
  <c r="M33" i="4" a="1"/>
  <c r="D27" i="4" a="1"/>
  <c r="M17" i="4" l="1"/>
  <c r="D27" i="4"/>
  <c r="E27" i="4" s="1"/>
  <c r="C28" i="4" s="1"/>
  <c r="M33" i="4"/>
  <c r="N17" i="4" a="1"/>
  <c r="N33" i="4" a="1"/>
  <c r="D28" i="4" a="1"/>
  <c r="N17" i="4" l="1"/>
  <c r="K18" i="4" s="1"/>
  <c r="D28" i="4"/>
  <c r="E28" i="4"/>
  <c r="C29" i="4" s="1"/>
  <c r="N33" i="4"/>
  <c r="O33" i="4" a="1"/>
  <c r="D29" i="4" a="1"/>
  <c r="D29" i="4" l="1"/>
  <c r="E29" i="4" s="1"/>
  <c r="C30" i="4" s="1"/>
  <c r="O33" i="4"/>
  <c r="P33" i="4" s="1"/>
  <c r="K34" i="4" s="1"/>
  <c r="M18" i="4" a="1"/>
  <c r="L34" i="4" a="1"/>
  <c r="D30" i="4" a="1"/>
  <c r="M18" i="4" l="1"/>
  <c r="D30" i="4"/>
  <c r="E30" i="4"/>
  <c r="C31" i="4" s="1"/>
  <c r="L34" i="4"/>
  <c r="N18" i="4" a="1"/>
  <c r="M34" i="4" a="1"/>
  <c r="D31" i="4" a="1"/>
  <c r="N18" i="4" l="1"/>
  <c r="K19" i="4" s="1"/>
  <c r="D31" i="4"/>
  <c r="E31" i="4"/>
  <c r="M34" i="4"/>
  <c r="N34" i="4" a="1"/>
  <c r="N34" i="4" l="1"/>
  <c r="M19" i="4" a="1"/>
  <c r="O34" i="4" a="1"/>
  <c r="M19" i="4" l="1"/>
  <c r="O34" i="4"/>
  <c r="P34" i="4" s="1"/>
  <c r="K35" i="4" s="1"/>
  <c r="N19" i="4" a="1"/>
  <c r="L35" i="4" a="1"/>
  <c r="N19" i="4" l="1"/>
  <c r="K20" i="4" s="1"/>
  <c r="L35" i="4"/>
  <c r="M35" i="4" a="1"/>
  <c r="M35" i="4" l="1"/>
  <c r="M20" i="4" a="1"/>
  <c r="N35" i="4" a="1"/>
  <c r="M20" i="4" l="1"/>
  <c r="N35" i="4"/>
  <c r="N20" i="4" a="1"/>
  <c r="O35" i="4" a="1"/>
  <c r="N20" i="4" l="1"/>
  <c r="K21" i="4" s="1"/>
  <c r="O35" i="4"/>
  <c r="P35" i="4" s="1"/>
  <c r="K36" i="4" s="1"/>
  <c r="L36" i="4" a="1"/>
  <c r="L36" i="4" l="1"/>
  <c r="M21" i="4" a="1"/>
  <c r="M36" i="4" a="1"/>
  <c r="M21" i="4" l="1"/>
  <c r="M36" i="4"/>
  <c r="N21" i="4" a="1"/>
  <c r="N36" i="4" a="1"/>
  <c r="N21" i="4" l="1"/>
  <c r="N36" i="4"/>
  <c r="O36" i="4" a="1"/>
  <c r="O36" i="4" l="1"/>
  <c r="P36" i="4" s="1"/>
  <c r="K37" i="4" s="1"/>
  <c r="L37" i="4" a="1"/>
  <c r="L37" i="4" l="1"/>
  <c r="M37" i="4" a="1"/>
  <c r="M37" i="4" l="1"/>
  <c r="N37" i="4" a="1"/>
  <c r="N37" i="4" l="1"/>
  <c r="O37" i="4" a="1"/>
  <c r="O37" i="4" l="1"/>
  <c r="P37" i="4" s="1"/>
  <c r="K38" i="4" s="1"/>
  <c r="L38" i="4" a="1"/>
  <c r="L38" i="4" l="1"/>
  <c r="M38" i="4" a="1"/>
  <c r="M38" i="4" l="1"/>
  <c r="N38" i="4" a="1"/>
  <c r="N38" i="4" l="1"/>
  <c r="O38" i="4" a="1"/>
  <c r="O38" i="4" l="1"/>
  <c r="P38" i="4" s="1"/>
  <c r="K39" i="4" s="1"/>
  <c r="L39" i="4" a="1"/>
  <c r="L39" i="4" l="1"/>
  <c r="M39" i="4" a="1"/>
  <c r="M39" i="4" l="1"/>
  <c r="N39" i="4" a="1"/>
  <c r="N39" i="4" l="1"/>
  <c r="O39" i="4" a="1"/>
  <c r="O39" i="4" l="1"/>
  <c r="P39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<sst xmlns="http://schemas.openxmlformats.org/spreadsheetml/2006/main" count="33" uniqueCount="20">
  <si>
    <t>Euler's Method</t>
  </si>
  <si>
    <t>x(n)</t>
  </si>
  <si>
    <t>y(n)</t>
  </si>
  <si>
    <t>f(x(n),y(n))</t>
  </si>
  <si>
    <t>h=</t>
  </si>
  <si>
    <t>x0 =</t>
  </si>
  <si>
    <t>y0 =</t>
  </si>
  <si>
    <t>y(n+1)=y(n) + h*f(x(n),y(n))</t>
  </si>
  <si>
    <t>Want to solve  y' = f(x,y)  with y(x0) = y0</t>
  </si>
  <si>
    <t>k1</t>
  </si>
  <si>
    <t>k2</t>
  </si>
  <si>
    <t>k3</t>
  </si>
  <si>
    <t>k4</t>
  </si>
  <si>
    <t>y(n+1) = y(n)+(h/6)*(k1 + 2*k2 + 2*k3 + k4)</t>
  </si>
  <si>
    <t>n</t>
  </si>
  <si>
    <t>Runge-Kutta Method - Order 2</t>
  </si>
  <si>
    <t>Runge-Kutta Method - Order 4</t>
  </si>
  <si>
    <t>x0</t>
  </si>
  <si>
    <t>y0</t>
  </si>
  <si>
    <t>y(n+1) = y(n)+h*f(x(n) + h/2, y + f(x(n), y(n))*(h/2))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</si>
</sst>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sz val="8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5"/>
      </patternFill>
    </fill>
    <fill>
      <patternFill patternType="solid">
        <fgColor rgb="FFFFEB9C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24">
    <xf numFmtId="0" fontId="0" fillId="0" borderId="0" xfId="0"/>
    <xf numFmtId="0" fontId="0" fillId="0" borderId="1" xfId="0" applyBorder="1"/>
    <xf numFmtId="0" fontId="0" fillId="0" borderId="2" xfId="0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7" xfId="0" applyBorder="1" applyAlignment="1">
      <alignment horizontal="center"/>
    </xf>
    <xf numFmtId="0" fontId="0" fillId="0" borderId="0" xfId="0" applyBorder="1"/>
    <xf numFmtId="0" fontId="0" fillId="0" borderId="8" xfId="0" applyBorder="1"/>
    <xf numFmtId="0" fontId="0" fillId="0" borderId="7" xfId="0" applyBorder="1"/>
    <xf numFmtId="0" fontId="0" fillId="0" borderId="0" xfId="0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3" fillId="3" borderId="1" xfId="2" applyBorder="1" applyAlignment="1">
      <alignment horizontal="center"/>
    </xf>
    <xf numFmtId="0" fontId="3" fillId="3" borderId="2" xfId="2" applyBorder="1" applyAlignment="1">
      <alignment horizontal="center"/>
    </xf>
    <xf numFmtId="0" fontId="3" fillId="3" borderId="3" xfId="2" applyBorder="1" applyAlignment="1">
      <alignment horizontal="center"/>
    </xf>
    <xf numFmtId="0" fontId="2" fillId="2" borderId="4" xfId="1" applyBorder="1" applyAlignment="1">
      <alignment horizontal="center"/>
    </xf>
    <xf numFmtId="0" fontId="2" fillId="2" borderId="5" xfId="1" applyBorder="1" applyAlignment="1">
      <alignment horizontal="center"/>
    </xf>
    <xf numFmtId="0" fontId="2" fillId="2" borderId="6" xfId="1" applyBorder="1" applyAlignment="1">
      <alignment horizontal="center"/>
    </xf>
  </cellXfs>
  <cellStyles count="3">
    <cellStyle name="60% - Énfasis4" xfId="1" builtinId="44"/>
    <cellStyle name="Neutral" xfId="2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Libro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ler"/>
    </sheetNames>
    <sheetDataSet>
      <sheetData sheetId="0">
        <row r="4">
          <cell r="G4">
            <v>0.1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1"/>
  <dimension ref="A6:S39"/>
  <sheetViews>
    <sheetView tabSelected="1" zoomScaleNormal="100" workbookViewId="0">
      <selection activeCell="S13" sqref="S13"/>
    </sheetView>
  </sheetViews>
  <sheetFormatPr baseColWidth="10" defaultColWidth="9.140625" defaultRowHeight="12.75" x14ac:dyDescent="0.2"/>
  <cols>
    <col min="3" max="3" width="12.5703125" bestFit="1" customWidth="1"/>
    <col min="4" max="4" width="12" bestFit="1" customWidth="1"/>
    <col min="5" max="5" width="12.5703125" bestFit="1" customWidth="1"/>
    <col min="6" max="7" width="12" bestFit="1" customWidth="1"/>
    <col min="16" max="16" width="37.42578125" bestFit="1" customWidth="1"/>
  </cols>
  <sheetData>
    <row r="6" spans="1:17" ht="13.5" thickBot="1" x14ac:dyDescent="0.25"/>
    <row r="7" spans="1:17" ht="15" x14ac:dyDescent="0.25">
      <c r="A7" s="18" t="s">
        <v>8</v>
      </c>
      <c r="B7" s="19"/>
      <c r="C7" s="19"/>
      <c r="D7" s="19"/>
      <c r="E7" s="19"/>
      <c r="F7" s="20"/>
      <c r="I7" s="18" t="s">
        <v>8</v>
      </c>
      <c r="J7" s="19"/>
      <c r="K7" s="19"/>
      <c r="L7" s="19"/>
      <c r="M7" s="19"/>
      <c r="N7" s="19"/>
      <c r="O7" s="19"/>
      <c r="P7" s="19"/>
      <c r="Q7" s="20"/>
    </row>
    <row r="8" spans="1:17" ht="15.75" thickBot="1" x14ac:dyDescent="0.3">
      <c r="A8" s="21" t="s">
        <v>0</v>
      </c>
      <c r="B8" s="22"/>
      <c r="C8" s="22"/>
      <c r="D8" s="22"/>
      <c r="E8" s="22"/>
      <c r="F8" s="23"/>
      <c r="I8" s="21" t="s">
        <v>15</v>
      </c>
      <c r="J8" s="22"/>
      <c r="K8" s="22"/>
      <c r="L8" s="22"/>
      <c r="M8" s="22"/>
      <c r="N8" s="22"/>
      <c r="O8" s="22"/>
      <c r="P8" s="22"/>
      <c r="Q8" s="23"/>
    </row>
    <row r="9" spans="1:17" x14ac:dyDescent="0.2">
      <c r="A9" s="1"/>
      <c r="B9" s="12" t="s">
        <v>5</v>
      </c>
      <c r="C9" s="3">
        <v>0</v>
      </c>
      <c r="D9" s="12" t="s">
        <v>6</v>
      </c>
      <c r="E9" s="3">
        <v>100</v>
      </c>
      <c r="F9" s="13"/>
      <c r="I9" s="1"/>
      <c r="J9" s="2" t="s">
        <v>5</v>
      </c>
      <c r="K9" s="2">
        <v>0</v>
      </c>
      <c r="L9" s="2" t="s">
        <v>6</v>
      </c>
      <c r="M9" s="2">
        <v>100</v>
      </c>
      <c r="N9" s="2" t="s">
        <v>4</v>
      </c>
      <c r="O9" s="2">
        <f>1/3</f>
        <v>0.33333333333333331</v>
      </c>
      <c r="P9" s="3"/>
      <c r="Q9" s="4"/>
    </row>
    <row r="10" spans="1:17" x14ac:dyDescent="0.2">
      <c r="A10" s="5" t="s">
        <v>14</v>
      </c>
      <c r="B10" s="9" t="s">
        <v>1</v>
      </c>
      <c r="C10" s="9" t="s">
        <v>2</v>
      </c>
      <c r="D10" s="6" t="s">
        <v>3</v>
      </c>
      <c r="E10" s="14" t="s">
        <v>7</v>
      </c>
      <c r="F10" s="15"/>
      <c r="I10" s="5" t="s">
        <v>14</v>
      </c>
      <c r="J10" s="9" t="s">
        <v>1</v>
      </c>
      <c r="K10" s="9" t="s">
        <v>2</v>
      </c>
      <c r="L10" s="9" t="s">
        <v>9</v>
      </c>
      <c r="M10" s="9" t="s">
        <v>10</v>
      </c>
      <c r="N10" s="14" t="s">
        <v>19</v>
      </c>
      <c r="O10" s="14"/>
      <c r="P10" s="14"/>
      <c r="Q10" s="15"/>
    </row>
    <row r="11" spans="1:17" x14ac:dyDescent="0.2">
      <c r="A11" s="8">
        <v>0</v>
      </c>
      <c r="B11" s="6">
        <v>0</v>
      </c>
      <c r="C11" s="6">
        <f>$E$9</f>
        <v>100</v>
      </c>
      <c r="D11" s="6" cm="1">
        <f t="array" ref="D11">FXY(B11,C11)</f>
        <v>-9.9009900990099009</v>
      </c>
      <c r="E11" s="14">
        <f t="shared" ref="E11" si="0">C11+h*D11</f>
        <v>96.699669966996694</v>
      </c>
      <c r="F11" s="15"/>
      <c r="I11" s="8">
        <v>0</v>
      </c>
      <c r="J11" s="6">
        <f>$K$9</f>
        <v>0</v>
      </c>
      <c r="K11" s="6">
        <f>$M$9</f>
        <v>100</v>
      </c>
      <c r="L11" s="6">
        <f t="shared" ref="L11:L21" si="1">J11+h/2</f>
        <v>0.16666666666666666</v>
      </c>
      <c r="M11" s="6" cm="1">
        <f t="array" ref="M11">K11 + FXY(J11,K11)*(h/2)</f>
        <v>98.349834983498354</v>
      </c>
      <c r="N11" s="14" cm="1">
        <f t="array" ref="N11">K11 + h * FXY(L11,M11)</f>
        <v>96.644852672491112</v>
      </c>
      <c r="O11" s="14"/>
      <c r="P11" s="14"/>
      <c r="Q11" s="15"/>
    </row>
    <row r="12" spans="1:17" x14ac:dyDescent="0.2">
      <c r="A12" s="8">
        <f>A11+1</f>
        <v>1</v>
      </c>
      <c r="B12" s="6">
        <f>B11+$O$9</f>
        <v>0.33333333333333331</v>
      </c>
      <c r="C12" s="6">
        <f>E11</f>
        <v>96.699669966996694</v>
      </c>
      <c r="D12" s="6" cm="1">
        <f t="array" ref="D12">FXY(B12,C12)</f>
        <v>-10.235449109887512</v>
      </c>
      <c r="E12" s="14">
        <f t="shared" ref="E12:E31" si="2">C12+h*D12</f>
        <v>93.287853597034186</v>
      </c>
      <c r="F12" s="15"/>
      <c r="I12" s="8">
        <f>I11+1</f>
        <v>1</v>
      </c>
      <c r="J12" s="6">
        <f t="shared" ref="J12:J21" si="3">J11+$O$9</f>
        <v>0.33333333333333331</v>
      </c>
      <c r="K12" s="6">
        <f t="shared" ref="K12:K21" si="4">N11</f>
        <v>96.644852672491112</v>
      </c>
      <c r="L12" s="6">
        <f t="shared" si="1"/>
        <v>0.5</v>
      </c>
      <c r="M12" s="6" cm="1">
        <f t="array" ref="M12">K12 + FXY(J12,K12)*(h/2)</f>
        <v>94.937986799840559</v>
      </c>
      <c r="N12" s="14" cm="1">
        <f t="array" ref="N12">K12 + h * FXY(L12,M12)</f>
        <v>93.170386046161127</v>
      </c>
      <c r="O12" s="14"/>
      <c r="P12" s="14"/>
      <c r="Q12" s="15"/>
    </row>
    <row r="13" spans="1:17" x14ac:dyDescent="0.2">
      <c r="A13" s="8">
        <f t="shared" ref="A13:A31" si="5">A12+1</f>
        <v>2</v>
      </c>
      <c r="B13" s="6">
        <f t="shared" ref="B13:B31" si="6">B12+$O$9</f>
        <v>0.66666666666666663</v>
      </c>
      <c r="C13" s="6">
        <f t="shared" ref="C13:C31" si="7">E12</f>
        <v>93.287853597034186</v>
      </c>
      <c r="D13" s="6" cm="1">
        <f t="array" ref="D13">FXY(B13,C13)</f>
        <v>-10.605819963553131</v>
      </c>
      <c r="E13" s="14">
        <f t="shared" si="2"/>
        <v>89.752580275849809</v>
      </c>
      <c r="F13" s="15"/>
      <c r="I13" s="8">
        <f t="shared" ref="I13:I39" si="8">I12+1</f>
        <v>2</v>
      </c>
      <c r="J13" s="6">
        <f t="shared" si="3"/>
        <v>0.66666666666666663</v>
      </c>
      <c r="K13" s="6">
        <f t="shared" si="4"/>
        <v>93.170386046161127</v>
      </c>
      <c r="L13" s="6">
        <f t="shared" si="1"/>
        <v>0.83333333333333326</v>
      </c>
      <c r="M13" s="6" cm="1">
        <f t="array" ref="M13">K13 + FXY(J13,K13)*(h/2)</f>
        <v>91.400544446648425</v>
      </c>
      <c r="N13" s="14" cm="1">
        <f t="array" ref="N13">K13 + h * FXY(L13,M13)</f>
        <v>89.562903694952709</v>
      </c>
      <c r="O13" s="14"/>
      <c r="P13" s="14"/>
      <c r="Q13" s="15"/>
    </row>
    <row r="14" spans="1:17" x14ac:dyDescent="0.2">
      <c r="A14" s="8">
        <f t="shared" si="5"/>
        <v>3</v>
      </c>
      <c r="B14" s="6">
        <f t="shared" si="6"/>
        <v>1</v>
      </c>
      <c r="C14" s="6">
        <f t="shared" si="7"/>
        <v>89.752580275849809</v>
      </c>
      <c r="D14" s="6" cm="1">
        <f t="array" ref="D14">FXY(B14,C14)</f>
        <v>-11.018970446464653</v>
      </c>
      <c r="E14" s="14">
        <f t="shared" si="2"/>
        <v>86.079590127028254</v>
      </c>
      <c r="F14" s="15"/>
      <c r="I14" s="8">
        <f t="shared" si="8"/>
        <v>3</v>
      </c>
      <c r="J14" s="6">
        <f t="shared" si="3"/>
        <v>1</v>
      </c>
      <c r="K14" s="6">
        <f t="shared" si="4"/>
        <v>89.562903694952709</v>
      </c>
      <c r="L14" s="6">
        <f t="shared" si="1"/>
        <v>1.1666666666666667</v>
      </c>
      <c r="M14" s="6" cm="1">
        <f t="array" ref="M14">K14 + FXY(J14,K14)*(h/2)</f>
        <v>87.72256223209439</v>
      </c>
      <c r="N14" s="14" cm="1">
        <f t="array" ref="N14">K14 + h * FXY(L14,M14)</f>
        <v>85.805873634646872</v>
      </c>
      <c r="O14" s="14"/>
      <c r="P14" s="14"/>
      <c r="Q14" s="15"/>
    </row>
    <row r="15" spans="1:17" x14ac:dyDescent="0.2">
      <c r="A15" s="8">
        <f t="shared" si="5"/>
        <v>4</v>
      </c>
      <c r="B15" s="6">
        <f t="shared" si="6"/>
        <v>1.3333333333333333</v>
      </c>
      <c r="C15" s="6">
        <f t="shared" si="7"/>
        <v>86.079590127028254</v>
      </c>
      <c r="D15" s="6" cm="1">
        <f t="array" ref="D15">FXY(B15,C15)</f>
        <v>-11.483747208056901</v>
      </c>
      <c r="E15" s="14">
        <f t="shared" si="2"/>
        <v>82.251674391009288</v>
      </c>
      <c r="F15" s="15"/>
      <c r="I15" s="8">
        <f t="shared" si="8"/>
        <v>4</v>
      </c>
      <c r="J15" s="6">
        <f t="shared" si="3"/>
        <v>1.3333333333333333</v>
      </c>
      <c r="K15" s="6">
        <f t="shared" si="4"/>
        <v>85.805873634646872</v>
      </c>
      <c r="L15" s="6">
        <f t="shared" si="1"/>
        <v>1.5</v>
      </c>
      <c r="M15" s="6" cm="1">
        <f t="array" ref="M15">K15 + FXY(J15,K15)*(h/2)</f>
        <v>83.885880670021663</v>
      </c>
      <c r="N15" s="14" cm="1">
        <f t="array" ref="N15">K15 + h * FXY(L15,M15)</f>
        <v>81.879032907988147</v>
      </c>
      <c r="O15" s="14"/>
      <c r="P15" s="14"/>
      <c r="Q15" s="15"/>
    </row>
    <row r="16" spans="1:17" x14ac:dyDescent="0.2">
      <c r="A16" s="8">
        <f t="shared" si="5"/>
        <v>5</v>
      </c>
      <c r="B16" s="6">
        <f t="shared" si="6"/>
        <v>1.6666666666666665</v>
      </c>
      <c r="C16" s="6">
        <f t="shared" si="7"/>
        <v>82.251674391009288</v>
      </c>
      <c r="D16" s="6" cm="1">
        <f t="array" ref="D16">FXY(B16,C16)</f>
        <v>-12.011770421616822</v>
      </c>
      <c r="E16" s="14">
        <f t="shared" si="2"/>
        <v>78.247750917137012</v>
      </c>
      <c r="F16" s="15"/>
      <c r="I16" s="8">
        <f t="shared" si="8"/>
        <v>5</v>
      </c>
      <c r="J16" s="6">
        <f t="shared" si="3"/>
        <v>1.6666666666666665</v>
      </c>
      <c r="K16" s="6">
        <f t="shared" si="4"/>
        <v>81.879032907988147</v>
      </c>
      <c r="L16" s="6">
        <f t="shared" si="1"/>
        <v>1.8333333333333333</v>
      </c>
      <c r="M16" s="6" cm="1">
        <f t="array" ref="M16">K16 + FXY(J16,K16)*(h/2)</f>
        <v>79.868069931963817</v>
      </c>
      <c r="N16" s="14" cm="1">
        <f t="array" ref="N16">K16 + h * FXY(L16,M16)</f>
        <v>77.75709289366884</v>
      </c>
      <c r="O16" s="14"/>
      <c r="P16" s="14"/>
      <c r="Q16" s="15"/>
    </row>
    <row r="17" spans="1:19" x14ac:dyDescent="0.2">
      <c r="A17" s="8">
        <f t="shared" si="5"/>
        <v>6</v>
      </c>
      <c r="B17" s="6">
        <f t="shared" si="6"/>
        <v>1.9999999999999998</v>
      </c>
      <c r="C17" s="6">
        <f t="shared" si="7"/>
        <v>78.247750917137012</v>
      </c>
      <c r="D17" s="6" cm="1">
        <f t="array" ref="D17">FXY(B17,C17)</f>
        <v>-12.618654642270156</v>
      </c>
      <c r="E17" s="14">
        <f t="shared" si="2"/>
        <v>74.041532703046954</v>
      </c>
      <c r="F17" s="15"/>
      <c r="I17" s="8">
        <f t="shared" si="8"/>
        <v>6</v>
      </c>
      <c r="J17" s="6">
        <f t="shared" si="3"/>
        <v>1.9999999999999998</v>
      </c>
      <c r="K17" s="6">
        <f t="shared" si="4"/>
        <v>77.75709289366884</v>
      </c>
      <c r="L17" s="6">
        <f t="shared" si="1"/>
        <v>2.1666666666666665</v>
      </c>
      <c r="M17" s="6" cm="1">
        <f t="array" ref="M17">K17 + FXY(J17,K17)*(h/2)</f>
        <v>75.640881381244355</v>
      </c>
      <c r="N17" s="14" cm="1">
        <f t="array" ref="N17">K17 + h * FXY(L17,M17)</f>
        <v>73.407804011209464</v>
      </c>
      <c r="O17" s="14"/>
      <c r="P17" s="14"/>
      <c r="Q17" s="15"/>
    </row>
    <row r="18" spans="1:19" x14ac:dyDescent="0.2">
      <c r="A18" s="8">
        <f t="shared" si="5"/>
        <v>7</v>
      </c>
      <c r="B18" s="6">
        <f t="shared" si="6"/>
        <v>2.333333333333333</v>
      </c>
      <c r="C18" s="6">
        <f t="shared" si="7"/>
        <v>74.041532703046954</v>
      </c>
      <c r="D18" s="6" cm="1">
        <f t="array" ref="D18">FXY(B18,C18)</f>
        <v>-13.325953828224465</v>
      </c>
      <c r="E18" s="14">
        <f t="shared" si="2"/>
        <v>69.599548093638802</v>
      </c>
      <c r="F18" s="15"/>
      <c r="I18" s="8">
        <f t="shared" si="8"/>
        <v>7</v>
      </c>
      <c r="J18" s="6">
        <f t="shared" si="3"/>
        <v>2.333333333333333</v>
      </c>
      <c r="K18" s="6">
        <f t="shared" si="4"/>
        <v>73.407804011209464</v>
      </c>
      <c r="L18" s="6">
        <f t="shared" si="1"/>
        <v>2.4999999999999996</v>
      </c>
      <c r="M18" s="6" cm="1">
        <f t="array" ref="M18">K18 + FXY(J18,K18)*(h/2)</f>
        <v>71.167895591904966</v>
      </c>
      <c r="N18" s="14" cm="1">
        <f t="array" ref="N18">K18 + h * FXY(L18,M18)</f>
        <v>68.788945021357989</v>
      </c>
      <c r="O18" s="14"/>
      <c r="P18" s="14"/>
      <c r="Q18" s="15"/>
    </row>
    <row r="19" spans="1:19" x14ac:dyDescent="0.2">
      <c r="A19" s="8">
        <f t="shared" si="5"/>
        <v>8</v>
      </c>
      <c r="B19" s="6">
        <f t="shared" si="6"/>
        <v>2.6666666666666665</v>
      </c>
      <c r="C19" s="6">
        <f t="shared" si="7"/>
        <v>69.599548093638802</v>
      </c>
      <c r="D19" s="6" cm="1">
        <f t="array" ref="D19">FXY(B19,C19)</f>
        <v>-14.164396614460802</v>
      </c>
      <c r="E19" s="14">
        <f t="shared" si="2"/>
        <v>64.878082555485207</v>
      </c>
      <c r="F19" s="15"/>
      <c r="I19" s="8">
        <f t="shared" si="8"/>
        <v>8</v>
      </c>
      <c r="J19" s="6">
        <f t="shared" si="3"/>
        <v>2.6666666666666665</v>
      </c>
      <c r="K19" s="6">
        <f t="shared" si="4"/>
        <v>68.788945021357989</v>
      </c>
      <c r="L19" s="6">
        <f t="shared" si="1"/>
        <v>2.833333333333333</v>
      </c>
      <c r="M19" s="6" cm="1">
        <f t="array" ref="M19">K19 + FXY(J19,K19)*(h/2)</f>
        <v>66.400792189764672</v>
      </c>
      <c r="N19" s="14" cm="1">
        <f t="array" ref="N19">K19 + h * FXY(L19,M19)</f>
        <v>63.843404731640852</v>
      </c>
      <c r="O19" s="14"/>
      <c r="P19" s="14"/>
      <c r="Q19" s="15"/>
    </row>
    <row r="20" spans="1:19" x14ac:dyDescent="0.2">
      <c r="A20" s="8">
        <f t="shared" si="5"/>
        <v>9</v>
      </c>
      <c r="B20" s="6">
        <f t="shared" si="6"/>
        <v>3</v>
      </c>
      <c r="C20" s="6">
        <f t="shared" si="7"/>
        <v>64.878082555485207</v>
      </c>
      <c r="D20" s="6" cm="1">
        <f t="array" ref="D20">FXY(B20,C20)</f>
        <v>-15.179555342366852</v>
      </c>
      <c r="E20" s="14">
        <f t="shared" si="2"/>
        <v>59.818230774696261</v>
      </c>
      <c r="F20" s="15"/>
      <c r="I20" s="8">
        <f t="shared" si="8"/>
        <v>9</v>
      </c>
      <c r="J20" s="6">
        <f t="shared" si="3"/>
        <v>3</v>
      </c>
      <c r="K20" s="6">
        <f t="shared" si="4"/>
        <v>63.843404731640852</v>
      </c>
      <c r="L20" s="6">
        <f t="shared" si="1"/>
        <v>3.1666666666666665</v>
      </c>
      <c r="M20" s="6" cm="1">
        <f t="array" ref="M20">K20 + FXY(J20,K20)*(h/2)</f>
        <v>61.273109921298477</v>
      </c>
      <c r="N20" s="14" cm="1">
        <f t="array" ref="N20">K20 + h * FXY(L20,M20)</f>
        <v>58.490639569364482</v>
      </c>
      <c r="O20" s="14"/>
      <c r="P20" s="14"/>
      <c r="Q20" s="15"/>
    </row>
    <row r="21" spans="1:19" ht="13.5" thickBot="1" x14ac:dyDescent="0.25">
      <c r="A21" s="8">
        <f t="shared" si="5"/>
        <v>10</v>
      </c>
      <c r="B21" s="6">
        <f t="shared" si="6"/>
        <v>3.3333333333333335</v>
      </c>
      <c r="C21" s="6">
        <f t="shared" si="7"/>
        <v>59.818230774696261</v>
      </c>
      <c r="D21" s="6" cm="1">
        <f t="array" ref="D21">FXY(B21,C21)</f>
        <v>-16.442438184440828</v>
      </c>
      <c r="E21" s="14">
        <f t="shared" si="2"/>
        <v>54.337418046549317</v>
      </c>
      <c r="F21" s="15"/>
      <c r="I21" s="10">
        <f t="shared" si="8"/>
        <v>10</v>
      </c>
      <c r="J21" s="11">
        <f t="shared" si="3"/>
        <v>3.3333333333333335</v>
      </c>
      <c r="K21" s="11">
        <f t="shared" si="4"/>
        <v>58.490639569364482</v>
      </c>
      <c r="L21" s="11">
        <f t="shared" si="1"/>
        <v>3.5</v>
      </c>
      <c r="M21" s="11" cm="1">
        <f t="array" ref="M21">K21 + FXY(J21,K21)*(h/2)</f>
        <v>55.689078384729079</v>
      </c>
      <c r="N21" s="16" cm="1">
        <f t="array" ref="N21">K21 + h * FXY(L21,M21)</f>
        <v>52.610612184351872</v>
      </c>
      <c r="O21" s="16"/>
      <c r="P21" s="16"/>
      <c r="Q21" s="17"/>
    </row>
    <row r="22" spans="1:19" x14ac:dyDescent="0.2">
      <c r="A22" s="8">
        <f t="shared" si="5"/>
        <v>11</v>
      </c>
      <c r="B22" s="6">
        <f t="shared" si="6"/>
        <v>3.666666666666667</v>
      </c>
      <c r="C22" s="6">
        <f t="shared" si="7"/>
        <v>54.337418046549317</v>
      </c>
      <c r="D22" s="6" cm="1">
        <f t="array" ref="D22">FXY(B22,C22)</f>
        <v>-18.070955156577948</v>
      </c>
      <c r="E22" s="14">
        <f t="shared" si="2"/>
        <v>48.313766327690004</v>
      </c>
      <c r="F22" s="15"/>
    </row>
    <row r="23" spans="1:19" x14ac:dyDescent="0.2">
      <c r="A23" s="8">
        <f t="shared" si="5"/>
        <v>12</v>
      </c>
      <c r="B23" s="6">
        <f t="shared" si="6"/>
        <v>4</v>
      </c>
      <c r="C23" s="6">
        <f t="shared" si="7"/>
        <v>48.313766327690004</v>
      </c>
      <c r="D23" s="6" cm="1">
        <f t="array" ref="D23">FXY(B23,C23)</f>
        <v>-20.278313227081448</v>
      </c>
      <c r="E23" s="14">
        <f t="shared" si="2"/>
        <v>41.554328585329522</v>
      </c>
      <c r="F23" s="15"/>
    </row>
    <row r="24" spans="1:19" ht="13.5" thickBot="1" x14ac:dyDescent="0.25">
      <c r="A24" s="8">
        <f t="shared" si="5"/>
        <v>13</v>
      </c>
      <c r="B24" s="6">
        <f t="shared" si="6"/>
        <v>4.333333333333333</v>
      </c>
      <c r="C24" s="6">
        <f t="shared" si="7"/>
        <v>41.554328585329522</v>
      </c>
      <c r="D24" s="6" cm="1">
        <f t="array" ref="D24">FXY(B24,C24)</f>
        <v>-23.499372055531548</v>
      </c>
      <c r="E24" s="14">
        <f t="shared" si="2"/>
        <v>33.721204566819004</v>
      </c>
      <c r="F24" s="15"/>
    </row>
    <row r="25" spans="1:19" ht="15" x14ac:dyDescent="0.25">
      <c r="A25" s="8">
        <f t="shared" si="5"/>
        <v>14</v>
      </c>
      <c r="B25" s="6">
        <f t="shared" si="6"/>
        <v>4.6666666666666661</v>
      </c>
      <c r="C25" s="6">
        <f t="shared" si="7"/>
        <v>33.721204566819004</v>
      </c>
      <c r="D25" s="6" cm="1">
        <f t="array" ref="D25">FXY(B25,C25)</f>
        <v>-28.80084410883719</v>
      </c>
      <c r="E25" s="14">
        <f t="shared" si="2"/>
        <v>24.120923197206608</v>
      </c>
      <c r="F25" s="15"/>
      <c r="I25" s="18" t="s">
        <v>8</v>
      </c>
      <c r="J25" s="19"/>
      <c r="K25" s="19"/>
      <c r="L25" s="19"/>
      <c r="M25" s="19"/>
      <c r="N25" s="19"/>
      <c r="O25" s="19"/>
      <c r="P25" s="19"/>
      <c r="Q25" s="19"/>
      <c r="R25" s="19"/>
      <c r="S25" s="20"/>
    </row>
    <row r="26" spans="1:19" ht="15.75" thickBot="1" x14ac:dyDescent="0.3">
      <c r="A26" s="8">
        <f t="shared" si="5"/>
        <v>15</v>
      </c>
      <c r="B26" s="6">
        <f t="shared" si="6"/>
        <v>4.9999999999999991</v>
      </c>
      <c r="C26" s="6">
        <f t="shared" si="7"/>
        <v>24.120923197206608</v>
      </c>
      <c r="D26" s="6" cm="1">
        <f t="array" ref="D26">FXY(B26,C26)</f>
        <v>-39.807454214548841</v>
      </c>
      <c r="E26" s="14">
        <f t="shared" si="2"/>
        <v>10.851771792356995</v>
      </c>
      <c r="F26" s="15"/>
      <c r="I26" s="21" t="s">
        <v>16</v>
      </c>
      <c r="J26" s="22"/>
      <c r="K26" s="22"/>
      <c r="L26" s="22"/>
      <c r="M26" s="22"/>
      <c r="N26" s="22"/>
      <c r="O26" s="22"/>
      <c r="P26" s="22"/>
      <c r="Q26" s="22"/>
      <c r="R26" s="22"/>
      <c r="S26" s="23"/>
    </row>
    <row r="27" spans="1:19" x14ac:dyDescent="0.2">
      <c r="A27" s="8">
        <f t="shared" si="5"/>
        <v>16</v>
      </c>
      <c r="B27" s="6">
        <f t="shared" si="6"/>
        <v>5.3333333333333321</v>
      </c>
      <c r="C27" s="6">
        <f t="shared" si="7"/>
        <v>10.851771792356995</v>
      </c>
      <c r="D27" s="6" cm="1">
        <f t="array" ref="D27">FXY(B27,C27)</f>
        <v>-84.375569958652335</v>
      </c>
      <c r="E27" s="14">
        <f t="shared" si="2"/>
        <v>-17.273418193860447</v>
      </c>
      <c r="F27" s="15"/>
      <c r="I27" s="1"/>
      <c r="J27" s="2" t="s">
        <v>17</v>
      </c>
      <c r="K27" s="2">
        <v>0</v>
      </c>
      <c r="L27" s="2" t="s">
        <v>18</v>
      </c>
      <c r="M27" s="2">
        <v>1</v>
      </c>
      <c r="N27" s="2" t="s">
        <v>4</v>
      </c>
      <c r="O27" s="2">
        <v>0.5</v>
      </c>
      <c r="P27" s="3"/>
      <c r="Q27" s="3"/>
      <c r="R27" s="3"/>
      <c r="S27" s="4"/>
    </row>
    <row r="28" spans="1:19" x14ac:dyDescent="0.2">
      <c r="A28" s="8">
        <f t="shared" si="5"/>
        <v>17</v>
      </c>
      <c r="B28" s="6">
        <f t="shared" si="6"/>
        <v>5.6666666666666652</v>
      </c>
      <c r="C28" s="6">
        <f t="shared" si="7"/>
        <v>-17.273418193860447</v>
      </c>
      <c r="D28" s="6" cm="1">
        <f t="array" ref="D28">FXY(B28,C28)</f>
        <v>61.449904874765338</v>
      </c>
      <c r="E28" s="14">
        <f t="shared" si="2"/>
        <v>3.209883431061332</v>
      </c>
      <c r="F28" s="15"/>
      <c r="I28" s="5" t="s">
        <v>14</v>
      </c>
      <c r="J28" s="9" t="s">
        <v>1</v>
      </c>
      <c r="K28" s="9" t="s">
        <v>2</v>
      </c>
      <c r="L28" s="9" t="s">
        <v>9</v>
      </c>
      <c r="M28" s="9" t="s">
        <v>10</v>
      </c>
      <c r="N28" s="9" t="s">
        <v>11</v>
      </c>
      <c r="O28" s="9" t="s">
        <v>12</v>
      </c>
      <c r="P28" s="6" t="s">
        <v>13</v>
      </c>
      <c r="Q28" s="6"/>
      <c r="R28" s="6"/>
      <c r="S28" s="7"/>
    </row>
    <row r="29" spans="1:19" x14ac:dyDescent="0.2">
      <c r="A29" s="8">
        <f t="shared" si="5"/>
        <v>18</v>
      </c>
      <c r="B29" s="6">
        <f t="shared" si="6"/>
        <v>5.9999999999999982</v>
      </c>
      <c r="C29" s="6">
        <f t="shared" si="7"/>
        <v>3.209883431061332</v>
      </c>
      <c r="D29" s="6" cm="1">
        <f t="array" ref="D29">FXY(B29,C29)</f>
        <v>-237.53626825431962</v>
      </c>
      <c r="E29" s="14">
        <f t="shared" si="2"/>
        <v>-75.96887265371187</v>
      </c>
      <c r="F29" s="15"/>
      <c r="I29" s="8">
        <v>0</v>
      </c>
      <c r="J29" s="6">
        <f>$K$9</f>
        <v>0</v>
      </c>
      <c r="K29" s="6">
        <f>$M$9</f>
        <v>100</v>
      </c>
      <c r="L29" s="6" cm="1">
        <f t="array" ref="L29">FXY(J29,K29)</f>
        <v>-9.9009900990099009</v>
      </c>
      <c r="M29" s="6" cm="1">
        <f t="array" ref="M29">FXY(J29 + h/2, K29 + h*L29/2)</f>
        <v>-10.065441982526657</v>
      </c>
      <c r="N29" s="6" cm="1">
        <f t="array" ref="N29">FXY(J29 + h/2, K29 + h*M29/2)</f>
        <v>-10.068219604448707</v>
      </c>
      <c r="O29" s="6" cm="1">
        <f t="array" ref="O29">FXY(J29 + h, K29 + h*N29)</f>
        <v>-10.241292344412216</v>
      </c>
      <c r="P29" s="14">
        <f>K29+(h/6)*(L29 + 2*M29 + 2*N29 +O29 )</f>
        <v>96.643910799034842</v>
      </c>
      <c r="Q29" s="14"/>
      <c r="R29" s="14"/>
      <c r="S29" s="15"/>
    </row>
    <row r="30" spans="1:19" x14ac:dyDescent="0.2">
      <c r="A30" s="8">
        <f t="shared" si="5"/>
        <v>19</v>
      </c>
      <c r="B30" s="6">
        <f t="shared" si="6"/>
        <v>6.3333333333333313</v>
      </c>
      <c r="C30" s="6">
        <f t="shared" si="7"/>
        <v>-75.96887265371187</v>
      </c>
      <c r="D30" s="6" cm="1">
        <f t="array" ref="D30">FXY(B30,C30)</f>
        <v>13.3388693814177</v>
      </c>
      <c r="E30" s="14">
        <f t="shared" si="2"/>
        <v>-71.522582859905967</v>
      </c>
      <c r="F30" s="15"/>
      <c r="I30" s="8">
        <f>I29+1</f>
        <v>1</v>
      </c>
      <c r="J30" s="6">
        <f t="shared" ref="J30:J39" si="9">J29+$O$9</f>
        <v>0.33333333333333331</v>
      </c>
      <c r="K30" s="6">
        <f t="shared" ref="K30:K39" si="10">P29</f>
        <v>96.643910799034842</v>
      </c>
      <c r="L30" s="6" cm="1">
        <f t="array" ref="L30">FXY(J30,K30)</f>
        <v>-10.24129402250329</v>
      </c>
      <c r="M30" s="6" cm="1">
        <f t="array" ref="M30">FXY(J30 + h/2, K30 + h*L30/2)</f>
        <v>-10.423504000820751</v>
      </c>
      <c r="N30" s="6" cm="1">
        <f t="array" ref="N30">FXY(J30 + h/2, K30 + h*M30/2)</f>
        <v>-10.426804547476152</v>
      </c>
      <c r="O30" s="6" cm="1">
        <f t="array" ref="O30">FXY(J30 + h, K30 + h*N30)</f>
        <v>-10.619283786783496</v>
      </c>
      <c r="P30" s="14">
        <f t="shared" ref="P30:P39" si="11">K30+(h/6)*(L30 + 2*M30 + 2*N30 +O30 )</f>
        <v>93.168288859819256</v>
      </c>
      <c r="Q30" s="14"/>
      <c r="R30" s="14"/>
      <c r="S30" s="15"/>
    </row>
    <row r="31" spans="1:19" ht="13.5" thickBot="1" x14ac:dyDescent="0.25">
      <c r="A31" s="10">
        <f t="shared" si="5"/>
        <v>20</v>
      </c>
      <c r="B31" s="11">
        <f t="shared" si="6"/>
        <v>6.6666666666666643</v>
      </c>
      <c r="C31" s="11">
        <f t="shared" si="7"/>
        <v>-71.522582859905967</v>
      </c>
      <c r="D31" s="11" cm="1">
        <f t="array" ref="D31">FXY(B31,C31)</f>
        <v>14.179855011642342</v>
      </c>
      <c r="E31" s="16">
        <f t="shared" si="2"/>
        <v>-66.795964522691847</v>
      </c>
      <c r="F31" s="17"/>
      <c r="I31" s="8">
        <f t="shared" si="8"/>
        <v>2</v>
      </c>
      <c r="J31" s="6">
        <f t="shared" si="9"/>
        <v>0.66666666666666663</v>
      </c>
      <c r="K31" s="6">
        <f t="shared" si="10"/>
        <v>93.168288859819256</v>
      </c>
      <c r="L31" s="6" cm="1">
        <f t="array" ref="L31">FXY(J31,K31)</f>
        <v>-10.619286089913128</v>
      </c>
      <c r="M31" s="6" cm="1">
        <f t="array" ref="M31">FXY(J31 + h/2, K31 + h*L31/2)</f>
        <v>-10.822697309669204</v>
      </c>
      <c r="N31" s="6" cm="1">
        <f t="array" ref="N31">FXY(J31 + h/2, K31 + h*M31/2)</f>
        <v>-10.826669719556847</v>
      </c>
      <c r="O31" s="6" cm="1">
        <f t="array" ref="O31">FXY(J31 + h, K31 + h*N31)</f>
        <v>-11.042476115766629</v>
      </c>
      <c r="P31" s="14">
        <f t="shared" si="11"/>
        <v>89.559372400700823</v>
      </c>
      <c r="Q31" s="14"/>
      <c r="R31" s="14"/>
      <c r="S31" s="15"/>
    </row>
    <row r="32" spans="1:19" x14ac:dyDescent="0.2">
      <c r="I32" s="8">
        <f t="shared" si="8"/>
        <v>3</v>
      </c>
      <c r="J32" s="6">
        <f t="shared" si="9"/>
        <v>1</v>
      </c>
      <c r="K32" s="6">
        <f t="shared" si="10"/>
        <v>89.559372400700823</v>
      </c>
      <c r="L32" s="6" cm="1">
        <f t="array" ref="L32">FXY(J32,K32)</f>
        <v>-11.04247935349275</v>
      </c>
      <c r="M32" s="6" cm="1">
        <f t="array" ref="M32">FXY(J32 + h/2, K32 + h*L32/2)</f>
        <v>-11.271547922762949</v>
      </c>
      <c r="N32" s="6" cm="1">
        <f t="array" ref="N32">FXY(J32 + h/2, K32 + h*M32/2)</f>
        <v>-11.276400453613256</v>
      </c>
      <c r="O32" s="6" cm="1">
        <f t="array" ref="O32">FXY(J32 + h, K32 + h*N32)</f>
        <v>-11.520661374508411</v>
      </c>
      <c r="P32" s="14">
        <f t="shared" si="11"/>
        <v>85.800536985103406</v>
      </c>
      <c r="Q32" s="14"/>
      <c r="R32" s="14"/>
      <c r="S32" s="15"/>
    </row>
    <row r="33" spans="9:19" x14ac:dyDescent="0.2">
      <c r="I33" s="8">
        <f t="shared" si="8"/>
        <v>4</v>
      </c>
      <c r="J33" s="6">
        <f t="shared" si="9"/>
        <v>1.3333333333333333</v>
      </c>
      <c r="K33" s="6">
        <f t="shared" si="10"/>
        <v>85.800536985103406</v>
      </c>
      <c r="L33" s="6" cm="1">
        <f t="array" ref="L33">FXY(J33,K33)</f>
        <v>-11.520666054999392</v>
      </c>
      <c r="M33" s="6" cm="1">
        <f t="array" ref="M33">FXY(J33 + h/2, K33 + h*L33/2)</f>
        <v>-11.781279234902694</v>
      </c>
      <c r="N33" s="6" cm="1">
        <f t="array" ref="N33">FXY(J33 + h/2, K33 + h*M33/2)</f>
        <v>-11.787311109734253</v>
      </c>
      <c r="O33" s="6" cm="1">
        <f t="array" ref="O33">FXY(J33 + h, K33 + h*N33)</f>
        <v>-12.066884333939829</v>
      </c>
      <c r="P33" s="14">
        <f t="shared" si="11"/>
        <v>81.871385258536009</v>
      </c>
      <c r="Q33" s="14"/>
      <c r="R33" s="14"/>
      <c r="S33" s="15"/>
    </row>
    <row r="34" spans="9:19" x14ac:dyDescent="0.2">
      <c r="I34" s="8">
        <f t="shared" si="8"/>
        <v>5</v>
      </c>
      <c r="J34" s="6">
        <f t="shared" si="9"/>
        <v>1.6666666666666665</v>
      </c>
      <c r="K34" s="6">
        <f t="shared" si="10"/>
        <v>81.871385258536009</v>
      </c>
      <c r="L34" s="6" cm="1">
        <f t="array" ref="L34">FXY(J34,K34)</f>
        <v>-12.066891326605367</v>
      </c>
      <c r="M34" s="6" cm="1">
        <f t="array" ref="M34">FXY(J34 + h/2, K34 + h*L34/2)</f>
        <v>-12.367017965324274</v>
      </c>
      <c r="N34" s="6" cm="1">
        <f t="array" ref="N34">FXY(J34 + h/2, K34 + h*M34/2)</f>
        <v>-12.374673085627769</v>
      </c>
      <c r="O34" s="6" cm="1">
        <f t="array" ref="O34">FXY(J34 + h, K34 + h*N34)</f>
        <v>-12.698978027889327</v>
      </c>
      <c r="P34" s="14">
        <f t="shared" si="11"/>
        <v>77.746426844291634</v>
      </c>
      <c r="Q34" s="14"/>
      <c r="R34" s="14"/>
      <c r="S34" s="15"/>
    </row>
    <row r="35" spans="9:19" x14ac:dyDescent="0.2">
      <c r="I35" s="8">
        <f t="shared" si="8"/>
        <v>6</v>
      </c>
      <c r="J35" s="6">
        <f t="shared" si="9"/>
        <v>1.9999999999999998</v>
      </c>
      <c r="K35" s="6">
        <f t="shared" si="10"/>
        <v>77.746426844291634</v>
      </c>
      <c r="L35" s="6" cm="1">
        <f t="array" ref="L35">FXY(J35,K35)</f>
        <v>-12.698988894789332</v>
      </c>
      <c r="M35" s="6" cm="1">
        <f t="array" ref="M35">FXY(J35 + h/2, K35 + h*L35/2)</f>
        <v>-13.049731573913885</v>
      </c>
      <c r="N35" s="6" cm="1">
        <f t="array" ref="N35">FXY(J35 + h/2, K35 + h*M35/2)</f>
        <v>-13.059694156843547</v>
      </c>
      <c r="O35" s="6" cm="1">
        <f t="array" ref="O35">FXY(J35 + h, K35 + h*N35)</f>
        <v>-13.442089613632284</v>
      </c>
      <c r="P35" s="14">
        <f t="shared" si="11"/>
        <v>73.39309740151738</v>
      </c>
      <c r="Q35" s="14"/>
      <c r="R35" s="14"/>
      <c r="S35" s="15"/>
    </row>
    <row r="36" spans="9:19" x14ac:dyDescent="0.2">
      <c r="I36" s="8">
        <f t="shared" si="8"/>
        <v>7</v>
      </c>
      <c r="J36" s="6">
        <f t="shared" si="9"/>
        <v>2.333333333333333</v>
      </c>
      <c r="K36" s="6">
        <f t="shared" si="10"/>
        <v>73.39309740151738</v>
      </c>
      <c r="L36" s="6" cm="1">
        <f t="array" ref="L36">FXY(J36,K36)</f>
        <v>-13.442107331581589</v>
      </c>
      <c r="M36" s="6" cm="1">
        <f t="array" ref="M36">FXY(J36 + h/2, K36 + h*L36/2)</f>
        <v>-13.859486339037115</v>
      </c>
      <c r="N36" s="6" cm="1">
        <f t="array" ref="N36">FXY(J36 + h/2, K36 + h*M36/2)</f>
        <v>-13.87286130022858</v>
      </c>
      <c r="O36" s="6" cm="1">
        <f t="array" ref="O36">FXY(J36 + h, K36 + h*N36)</f>
        <v>-14.333052200251483</v>
      </c>
      <c r="P36" s="14">
        <f t="shared" si="11"/>
        <v>68.768661023163801</v>
      </c>
      <c r="Q36" s="14"/>
      <c r="R36" s="14"/>
      <c r="S36" s="15"/>
    </row>
    <row r="37" spans="9:19" x14ac:dyDescent="0.2">
      <c r="I37" s="8">
        <f t="shared" si="8"/>
        <v>8</v>
      </c>
      <c r="J37" s="6">
        <f t="shared" si="9"/>
        <v>2.6666666666666665</v>
      </c>
      <c r="K37" s="6">
        <f t="shared" si="10"/>
        <v>68.768661023163801</v>
      </c>
      <c r="L37" s="6" cm="1">
        <f t="array" ref="L37">FXY(J37,K37)</f>
        <v>-14.333082867506821</v>
      </c>
      <c r="M37" s="6" cm="1">
        <f t="array" ref="M37">FXY(J37 + h/2, K37 + h*L37/2)</f>
        <v>-14.841240164332204</v>
      </c>
      <c r="N37" s="6" cm="1">
        <f t="array" ref="N37">FXY(J37 + h/2, K37 + h*M37/2)</f>
        <v>-14.859918300210524</v>
      </c>
      <c r="O37" s="6" cm="1">
        <f t="array" ref="O37">FXY(J37 + h, K37 + h*N37)</f>
        <v>-15.428442861827197</v>
      </c>
      <c r="P37" s="14">
        <f t="shared" si="11"/>
        <v>63.815114208807167</v>
      </c>
      <c r="Q37" s="14"/>
      <c r="R37" s="14"/>
      <c r="S37" s="15"/>
    </row>
    <row r="38" spans="9:19" x14ac:dyDescent="0.2">
      <c r="I38" s="8">
        <f t="shared" si="8"/>
        <v>9</v>
      </c>
      <c r="J38" s="6">
        <f t="shared" si="9"/>
        <v>3</v>
      </c>
      <c r="K38" s="6">
        <f t="shared" si="10"/>
        <v>63.815114208807167</v>
      </c>
      <c r="L38" s="6" cm="1">
        <f t="array" ref="L38">FXY(J38,K38)</f>
        <v>-15.428500160910289</v>
      </c>
      <c r="M38" s="6" cm="1">
        <f t="array" ref="M38">FXY(J38 + h/2, K38 + h*L38/2)</f>
        <v>-16.065883614221931</v>
      </c>
      <c r="N38" s="6" cm="1">
        <f t="array" ref="N38">FXY(J38 + h/2, K38 + h*M38/2)</f>
        <v>-16.093349942463853</v>
      </c>
      <c r="O38" s="6" cm="1">
        <f t="array" ref="O38">FXY(J38 + h, K38 + h*N38)</f>
        <v>-16.820669928348064</v>
      </c>
      <c r="P38" s="14">
        <f t="shared" si="11"/>
        <v>58.450245475327726</v>
      </c>
      <c r="Q38" s="14"/>
      <c r="R38" s="14"/>
      <c r="S38" s="15"/>
    </row>
    <row r="39" spans="9:19" ht="13.5" thickBot="1" x14ac:dyDescent="0.25">
      <c r="I39" s="10">
        <f t="shared" si="8"/>
        <v>10</v>
      </c>
      <c r="J39" s="11">
        <f t="shared" si="9"/>
        <v>3.3333333333333335</v>
      </c>
      <c r="K39" s="11">
        <f t="shared" si="10"/>
        <v>58.450245475327726</v>
      </c>
      <c r="L39" s="11" cm="1">
        <f t="array" ref="L39">FXY(J39,K39)</f>
        <v>-16.820788408939489</v>
      </c>
      <c r="M39" s="11" cm="1">
        <f t="array" ref="M39">FXY(J39 + h/2, K39 + h*L39/2)</f>
        <v>-17.653253846514957</v>
      </c>
      <c r="N39" s="11" cm="1">
        <f t="array" ref="N39">FXY(J39 + h/2, K39 + h*M39/2)</f>
        <v>-17.696597898670952</v>
      </c>
      <c r="O39" s="11" cm="1">
        <f t="array" ref="O39">FXY(J39 + h, K39 + h*N39)</f>
        <v>-18.673655266527611</v>
      </c>
      <c r="P39" s="16">
        <f t="shared" si="11"/>
        <v>52.550570632781117</v>
      </c>
      <c r="Q39" s="16"/>
      <c r="R39" s="16"/>
      <c r="S39" s="17"/>
    </row>
  </sheetData>
  <mergeCells count="51">
    <mergeCell ref="I7:Q7"/>
    <mergeCell ref="I8:Q8"/>
    <mergeCell ref="P36:S36"/>
    <mergeCell ref="P37:S37"/>
    <mergeCell ref="P38:S38"/>
    <mergeCell ref="N17:Q17"/>
    <mergeCell ref="N18:Q18"/>
    <mergeCell ref="N19:Q19"/>
    <mergeCell ref="N20:Q20"/>
    <mergeCell ref="N21:Q21"/>
    <mergeCell ref="P29:S29"/>
    <mergeCell ref="I26:S26"/>
    <mergeCell ref="I25:S25"/>
    <mergeCell ref="N11:Q11"/>
    <mergeCell ref="N12:Q12"/>
    <mergeCell ref="N13:Q13"/>
    <mergeCell ref="N14:Q14"/>
    <mergeCell ref="N15:Q15"/>
    <mergeCell ref="N16:Q16"/>
    <mergeCell ref="P39:S39"/>
    <mergeCell ref="P30:S30"/>
    <mergeCell ref="P31:S31"/>
    <mergeCell ref="P32:S32"/>
    <mergeCell ref="P33:S33"/>
    <mergeCell ref="P34:S34"/>
    <mergeCell ref="P35:S35"/>
    <mergeCell ref="E17:F17"/>
    <mergeCell ref="E18:F18"/>
    <mergeCell ref="E19:F19"/>
    <mergeCell ref="E20:F20"/>
    <mergeCell ref="E11:F11"/>
    <mergeCell ref="E12:F12"/>
    <mergeCell ref="E13:F13"/>
    <mergeCell ref="E14:F14"/>
    <mergeCell ref="E15:F15"/>
    <mergeCell ref="N10:Q10"/>
    <mergeCell ref="E31:F31"/>
    <mergeCell ref="E10:F10"/>
    <mergeCell ref="A7:F7"/>
    <mergeCell ref="A8:F8"/>
    <mergeCell ref="E26:F26"/>
    <mergeCell ref="E27:F27"/>
    <mergeCell ref="E28:F28"/>
    <mergeCell ref="E29:F29"/>
    <mergeCell ref="E30:F30"/>
    <mergeCell ref="E21:F21"/>
    <mergeCell ref="E22:F22"/>
    <mergeCell ref="E23:F23"/>
    <mergeCell ref="E24:F24"/>
    <mergeCell ref="E25:F25"/>
    <mergeCell ref="E16:F16"/>
  </mergeCells>
  <phoneticPr fontId="1" type="noConversion"/>
  <pageMargins left="0.75" right="0.75" top="1" bottom="1" header="0.5" footer="0.5"/>
  <pageSetup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RK2 - RK4</vt:lpstr>
      <vt:lpstr>'RK2 - RK4'!h</vt:lpstr>
    </vt:vector>
  </TitlesOfParts>
  <Company>SDSU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SDSU</dc:creator>
  <cp:lastModifiedBy>Ramiro Olivencia</cp:lastModifiedBy>
  <dcterms:created xsi:type="dcterms:W3CDTF">1999-10-28T21:45:53Z</dcterms:created>
  <dcterms:modified xsi:type="dcterms:W3CDTF">2020-11-17T03:55:52Z</dcterms:modified>
</cp:coreProperties>
</file>